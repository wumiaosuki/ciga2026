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662163234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070f5783a4dc9"/>
    <x:sheet xmlns:r="http://schemas.openxmlformats.org/officeDocument/2006/relationships" name="Project Summary" sheetId="2" r:id="Rcc5102eb13db44d6"/>
    <x:sheet xmlns:r="http://schemas.openxmlformats.org/officeDocument/2006/relationships" name="Project Date Detail" sheetId="3" r:id="R017bd21a621f4696"/>
    <x:sheet xmlns:r="http://schemas.openxmlformats.org/officeDocument/2006/relationships" name="Date x Project Total" sheetId="4" r:id="Red10d5b3454241e4"/>
    <x:sheet xmlns:r="http://schemas.openxmlformats.org/officeDocument/2006/relationships" name="Date x Project No Cache" sheetId="5" r:id="Rf6a4024f3c66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EF2F7"/>
      </x:patternFill>
    </x:fill>
    <x:fill>
      <x:patternFill patternType="solid">
        <x:fgColor rgb="FFF8FAFC"/>
      </x:patternFill>
    </x:fill>
  </x:fills>
  <x:borders count="16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top style="thin">
        <x:color rgb="FFCBD5E1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1" fontId="3" fillId="5" borderId="0" xfId="0" applyNumberFormat="1" applyFont="1" applyFill="1" applyBorder="1" applyAlignment="1">
      <x:alignment horizontal="right"/>
    </x:xf>
    <x:xf numFmtId="201" fontId="3" fillId="5" borderId="13" xfId="0" applyNumberFormat="1" applyFont="1" applyFill="1" applyBorder="1" applyAlignment="1">
      <x:alignment horizontal="right"/>
    </x:xf>
    <x:xf numFmtId="201" fontId="3" fillId="5" borderId="14" xfId="0" applyNumberFormat="1" applyFont="1" applyFill="1" applyBorder="1" applyAlignment="1">
      <x:alignment horizontal="right"/>
    </x:xf>
    <x:xf numFmtId="201" fontId="3" fillId="5" borderId="15" xfId="0" applyNumberFormat="1" applyFont="1" applyFill="1" applyBorder="1" applyAlignment="1">
      <x:alignment horizontal="right"/>
    </x:xf>
    <x:xf numFmtId="201" fontId="3" fillId="5" borderId="13" xfId="0" applyNumberFormat="1" applyFont="1" applyFill="1" applyBorder="1" applyAlignment="1">
      <x:alignment horizontal="right" vertical="center"/>
    </x:xf>
    <x:xf numFmtId="201" fontId="3" fillId="5" borderId="14" xfId="0" applyNumberFormat="1" applyFont="1" applyFill="1" applyBorder="1" applyAlignment="1">
      <x:alignment horizontal="right" vertical="center"/>
    </x:xf>
    <x:xf numFmtId="201" fontId="3" fillId="5" borderId="15" xfId="0" applyNumberFormat="1" applyFont="1" applyFill="1" applyBorder="1" applyAlignment="1">
      <x:alignment horizontal="right" vertical="center"/>
    </x:xf>
    <x:xf numFmtId="201" fontId="3" fillId="5" borderId="13" xfId="0" applyNumberFormat="1" applyFont="1" applyFill="1" applyBorder="1" applyAlignment="1">
      <x:alignment horizontal="right" vertical="center" wrapText="0"/>
    </x:xf>
    <x:xf numFmtId="201" fontId="3" fillId="5" borderId="14" xfId="0" applyNumberFormat="1" applyFont="1" applyFill="1" applyBorder="1" applyAlignment="1">
      <x:alignment horizontal="right" vertical="center" wrapText="0"/>
    </x:xf>
    <x:xf numFmtId="201" fontId="3" fillId="5" borderId="15" xfId="0" applyNumberFormat="1" applyFont="1" applyFill="1" applyBorder="1" applyAlignment="1">
      <x:alignment horizontal="right" vertical="center" wrapText="0"/>
    </x:xf>
    <x:xf numFmtId="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/>
    <x:xf numFmtId="201" fontId="3" fillId="5" borderId="0" xfId="0" applyNumberFormat="1" applyFont="1" applyFill="1" applyBorder="1"/>
    <x:xf numFmtId="0" fontId="3" fillId="4" borderId="2" xfId="0" applyNumberFormat="1" applyFont="1" applyFill="1" applyBorder="1"/>
    <x:xf numFmtId="201" fontId="3" fillId="5" borderId="2" xfId="0" applyNumberFormat="1" applyFont="1" applyFill="1" applyBorder="1"/>
    <x:xf numFmtId="0" fontId="3" fillId="4" borderId="3" xfId="0" applyNumberFormat="1" applyFont="1" applyFill="1" applyBorder="1"/>
    <x:xf numFmtId="201" fontId="3" fillId="5" borderId="3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057cd3730412e" /><Relationship Type="http://schemas.openxmlformats.org/officeDocument/2006/relationships/theme" Target="/xl/theme/theme1.xml" Id="Rcf083b44e84c43ae" /><Relationship Type="http://schemas.openxmlformats.org/officeDocument/2006/relationships/sharedStrings" Target="/xl/sharedStrings.xml" Id="Rb7162eb707224ddb" /><Relationship Type="http://schemas.openxmlformats.org/officeDocument/2006/relationships/worksheet" Target="/xl/worksheets/sheet1.xml" Id="Re5c070f5783a4dc9" /><Relationship Type="http://schemas.openxmlformats.org/officeDocument/2006/relationships/worksheet" Target="/xl/worksheets/sheet2.xml" Id="Rcc5102eb13db44d6" /><Relationship Type="http://schemas.openxmlformats.org/officeDocument/2006/relationships/worksheet" Target="/xl/worksheets/sheet3.xml" Id="R017bd21a621f4696" /><Relationship Type="http://schemas.openxmlformats.org/officeDocument/2006/relationships/worksheet" Target="/xl/worksheets/sheet4.xml" Id="Red10d5b3454241e4" /><Relationship Type="http://schemas.openxmlformats.org/officeDocument/2006/relationships/worksheet" Target="/xl/worksheets/sheet5.xml" Id="Rf6a4024f3c664f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4" max="4" width="70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1" max="1" width="22" hidden="0" customWidth="1"/>
  </x:cols>
  <x:sheetData>
    <x:row r="1">
      <x:c r="A1" s="15" t="str">
        <x:v>Claude Token Usage by Project and Date</x:v>
      </x:c>
      <x:c r="B1" s="15"/>
      <x:c r="C1" s="15"/>
      <x:c r="D1" s="15"/>
      <x:c r="E1" s="15"/>
      <x:c r="F1" s="15"/>
      <x:c r="G1" s="15"/>
      <x:c r="H1" s="15"/>
    </x:row>
    <x:row r="3">
      <x:c r="A3" s="30" t="str">
        <x:v>Log root</x:v>
      </x:c>
      <x:c r="B3" s="45" t="str">
        <x:v>/Users/wepie/.claude/projects</x:v>
      </x:c>
    </x:row>
    <x:row r="4">
      <x:c r="A4" s="30" t="str">
        <x:v>Generated at</x:v>
      </x:c>
      <x:c r="B4" s="46" t="str">
        <x:v>2026-07-06 02:55:47</x:v>
      </x:c>
    </x:row>
    <x:row r="5" ht="22" customHeight="1">
      <x:c r="A5" s="30" t="str">
        <x:v>JSONL files</x:v>
      </x:c>
      <x:c r="B5" s="42" t="n">
        <x:v>134</x:v>
      </x:c>
    </x:row>
    <x:row r="6" ht="22" customHeight="1">
      <x:c r="A6" s="30" t="str">
        <x:v>Raw usage rows</x:v>
      </x:c>
      <x:c r="B6" s="43" t="n">
        <x:v>18386</x:v>
      </x:c>
    </x:row>
    <x:row r="7" ht="22" customHeight="1">
      <x:c r="A7" s="30" t="str">
        <x:v>Unique usage records</x:v>
      </x:c>
      <x:c r="B7" s="43" t="n">
        <x:v>4156</x:v>
      </x:c>
    </x:row>
    <x:row r="8" ht="22" customHeight="1">
      <x:c r="A8" s="30" t="str">
        <x:v>Parse errors</x:v>
      </x:c>
      <x:c r="B8" s="43" t="n">
        <x:v>0</x:v>
      </x:c>
    </x:row>
    <x:row r="9" ht="22" customHeight="1">
      <x:c r="A9" s="30" t="str">
        <x:v>Projects / cwd</x:v>
      </x:c>
      <x:c r="B9" s="44" t="n">
        <x:v>16</x:v>
      </x:c>
    </x:row>
    <x:row r="10">
      <x:c r="A10" s="30" t="str">
        <x:v>Date range</x:v>
      </x:c>
      <x:c r="B10" s="45" t="str">
        <x:v>2026-06-02 ~ 2026-07-01</x:v>
      </x:c>
    </x:row>
    <x:row r="12">
      <x:c r="A12" s="6" t="str">
        <x:v>Metric</x:v>
      </x:c>
      <x:c r="B12" s="6" t="str">
        <x:v>Value</x:v>
      </x:c>
      <x:c r="D12" s="5" t="str">
        <x:v>Top Projects</x:v>
      </x:c>
      <x:c r="E12" s="5" t="str">
        <x:v>Requests</x:v>
      </x:c>
      <x:c r="F12" s="5" t="str">
        <x:v>Without Cache Read</x:v>
      </x:c>
      <x:c r="G12" s="5" t="str">
        <x:v>Total</x:v>
      </x:c>
      <x:c r="H12" s="5" t="str">
        <x:v>Primary Model</x:v>
      </x:c>
    </x:row>
    <x:row r="13">
      <x:c r="A13" s="49" t="str">
        <x:v>Input</x:v>
      </x:c>
      <x:c r="B13" s="50" t="n">
        <x:f>SUM('Project Date Detail'!E2:E49)</x:f>
        <x:v>961625</x:v>
      </x:c>
      <x:c r="D13" s="53" t="str">
        <x:v>/Users/wepie/PieBox/Projects/untitled-mp59d9zjkqf6</x:v>
      </x:c>
      <x:c r="E13" s="54" t="n">
        <x:v>3307</x:v>
      </x:c>
      <x:c r="F13" s="54" t="n">
        <x:v>41725201</x:v>
      </x:c>
      <x:c r="G13" s="54" t="n">
        <x:v>701148587</x:v>
      </x:c>
      <x:c r="H13" s="53" t="str">
        <x:v>claude-opus-4-8</x:v>
      </x:c>
    </x:row>
    <x:row r="14">
      <x:c r="A14" s="49" t="str">
        <x:v>Output</x:v>
      </x:c>
      <x:c r="B14" s="50" t="n">
        <x:f>SUM('Project Date Detail'!F2:F49)</x:f>
        <x:v>4396611</x:v>
      </x:c>
      <x:c r="D14" s="7" t="str">
        <x:v>/Users/wepie/PieBox/Projects/untitled-mp59d9zjkqf6/assets/ugc-modes/modeGroupSnake</x:v>
      </x:c>
      <x:c r="E14" s="11" t="n">
        <x:v>426</x:v>
      </x:c>
      <x:c r="F14" s="11" t="n">
        <x:v>2338469</x:v>
      </x:c>
      <x:c r="G14" s="11" t="n">
        <x:v>172266714</x:v>
      </x:c>
      <x:c r="H14" s="7" t="str">
        <x:v>claude-opus-4-8</x:v>
      </x:c>
    </x:row>
    <x:row r="15">
      <x:c r="A15" s="49" t="str">
        <x:v>Cache Create</x:v>
      </x:c>
      <x:c r="B15" s="50" t="n">
        <x:f>SUM('Project Date Detail'!G2:G49)</x:f>
        <x:v>41739535</x:v>
      </x:c>
      <x:c r="D15" s="7" t="str">
        <x:v>/Users/wepie/PieBox/Projects/untitled-mp59d9zjkqf6/assets/ugc-modes/modeDaweidai</x:v>
      </x:c>
      <x:c r="E15" s="11" t="n">
        <x:v>29</x:v>
      </x:c>
      <x:c r="F15" s="11" t="n">
        <x:v>90647</x:v>
      </x:c>
      <x:c r="G15" s="11" t="n">
        <x:v>19376905</x:v>
      </x:c>
      <x:c r="H15" s="7" t="str">
        <x:v>claude-opus-4-8</x:v>
      </x:c>
    </x:row>
    <x:row r="16">
      <x:c r="A16" s="49" t="str">
        <x:v>Cache Read</x:v>
      </x:c>
      <x:c r="B16" s="50" t="n">
        <x:f>SUM('Project Date Detail'!H2:H49)</x:f>
        <x:v>897480174</x:v>
      </x:c>
      <x:c r="D16" s="7" t="str">
        <x:v>/Users/wepie/PieBox/Projects/untitled-mp59d9zjkqf6/tools</x:v>
      </x:c>
      <x:c r="E16" s="11" t="n">
        <x:v>88</x:v>
      </x:c>
      <x:c r="F16" s="11" t="n">
        <x:v>315213</x:v>
      </x:c>
      <x:c r="G16" s="11" t="n">
        <x:v>18846324</x:v>
      </x:c>
      <x:c r="H16" s="7" t="str">
        <x:v>claude-opus-4-8</x:v>
      </x:c>
    </x:row>
    <x:row r="17">
      <x:c r="A17" s="49" t="str">
        <x:v>Without Cache Read</x:v>
      </x:c>
      <x:c r="B17" s="50" t="n">
        <x:f>SUM('Project Date Detail'!I2:I49)</x:f>
        <x:v>47097771</x:v>
      </x:c>
      <x:c r="D17" s="7" t="str">
        <x:v>/Users/wepie/PieBox/files</x:v>
      </x:c>
      <x:c r="E17" s="11" t="n">
        <x:v>152</x:v>
      </x:c>
      <x:c r="F17" s="11" t="n">
        <x:v>1490486</x:v>
      </x:c>
      <x:c r="G17" s="11" t="n">
        <x:v>14279230</x:v>
      </x:c>
      <x:c r="H17" s="7" t="str">
        <x:v>claude-opus-4-8</x:v>
      </x:c>
    </x:row>
    <x:row r="18">
      <x:c r="A18" s="51" t="str">
        <x:v>Total</x:v>
      </x:c>
      <x:c r="B18" s="52" t="n">
        <x:f>SUM('Project Date Detail'!J2:J49)</x:f>
        <x:v>944577945</x:v>
      </x:c>
      <x:c r="D18" s="7" t="str">
        <x:v>/Users/wepie/PieBox/files/Gaming</x:v>
      </x:c>
      <x:c r="E18" s="11" t="n">
        <x:v>49</x:v>
      </x:c>
      <x:c r="F18" s="11" t="n">
        <x:v>290543</x:v>
      </x:c>
      <x:c r="G18" s="11" t="n">
        <x:v>7668232</x:v>
      </x:c>
      <x:c r="H18" s="7" t="str">
        <x:v>claude-opus-4-8</x:v>
      </x:c>
    </x:row>
    <x:row r="19">
      <x:c r="D19" s="7" t="str">
        <x:v>/Users/wepie/PieBox/Projects/untitled-mp59d9zjkqf6/assets/ugc-modes</x:v>
      </x:c>
      <x:c r="E19" s="11" t="n">
        <x:v>15</x:v>
      </x:c>
      <x:c r="F19" s="11" t="n">
        <x:v>411881</x:v>
      </x:c>
      <x:c r="G19" s="11" t="n">
        <x:v>4141862</x:v>
      </x:c>
      <x:c r="H19" s="7" t="str">
        <x:v>claude-opus-4-8</x:v>
      </x:c>
    </x:row>
    <x:row r="20">
      <x:c r="D20" s="7" t="str">
        <x:v>/Users/wepie/PieBox/Projects/untitled-mp59d9zjkqf6/assets/ugc-modes/modeGroupSnake/res</x:v>
      </x:c>
      <x:c r="E20" s="11" t="n">
        <x:v>27</x:v>
      </x:c>
      <x:c r="F20" s="11" t="n">
        <x:v>164297</x:v>
      </x:c>
      <x:c r="G20" s="11" t="n">
        <x:v>2703196</x:v>
      </x:c>
      <x:c r="H20" s="7" t="str">
        <x:v>claude-opus-4-8</x:v>
      </x:c>
    </x:row>
    <x:row r="21">
      <x:c r="D21" s="7" t="str">
        <x:v>/Users/wepie/My project</x:v>
      </x:c>
      <x:c r="E21" s="11" t="n">
        <x:v>25</x:v>
      </x:c>
      <x:c r="F21" s="11" t="n">
        <x:v>82589</x:v>
      </x:c>
      <x:c r="G21" s="11" t="n">
        <x:v>1077368</x:v>
      </x:c>
      <x:c r="H21" s="7" t="str">
        <x:v>claude-sonnet-4-6</x:v>
      </x:c>
    </x:row>
    <x:row r="22">
      <x:c r="D22" s="8" t="str">
        <x:v>/Users/wepie/PieBox/Projects/untitled-mp59d9zjkqf6/assets/ugc-modes/modeDaweidai/config</x:v>
      </x:c>
      <x:c r="E22" s="12" t="n">
        <x:v>1</x:v>
      </x:c>
      <x:c r="F22" s="12" t="n">
        <x:v>9527</x:v>
      </x:c>
      <x:c r="G22" s="12" t="n">
        <x:v>723160</x:v>
      </x:c>
      <x:c r="H22" s="8" t="str">
        <x:v>claude-opus-4-8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</x:cols>
  <x:sheetData>
    <x:row r="1">
      <x:c r="A1" s="6" t="str">
        <x:v>Project cwd</x:v>
      </x:c>
      <x:c r="B1" s="6" t="str">
        <x:v>Date Range</x:v>
      </x:c>
      <x:c r="C1" s="6" t="str">
        <x:v>Requests</x:v>
      </x:c>
      <x:c r="D1" s="6" t="str">
        <x:v>Sessions</x:v>
      </x:c>
      <x:c r="E1" s="6" t="str">
        <x:v>Input</x:v>
      </x:c>
      <x:c r="F1" s="6" t="str">
        <x:v>Output</x:v>
      </x:c>
      <x:c r="G1" s="6" t="str">
        <x:v>Cache Create</x:v>
      </x:c>
      <x:c r="H1" s="6" t="str">
        <x:v>Cache Read</x:v>
      </x:c>
      <x:c r="I1" s="6" t="str">
        <x:v>Without Cache Read</x:v>
      </x:c>
      <x:c r="J1" s="6" t="str">
        <x:v>Total</x:v>
      </x:c>
      <x:c r="K1" s="6" t="str">
        <x:v>Primary Model</x:v>
      </x:c>
    </x:row>
    <x:row r="2">
      <x:c r="A2" s="7" t="str">
        <x:v>/Users/wepie/PieBox/Projects/untitled-mp59d9zjkqf6</x:v>
      </x:c>
      <x:c r="B2" s="7" t="str">
        <x:v>2026-06-02 ~ 2026-07-01</x:v>
      </x:c>
      <x:c r="C2" s="11" t="n">
        <x:v>3307</x:v>
      </x:c>
      <x:c r="D2" s="11" t="n">
        <x:v>27</x:v>
      </x:c>
      <x:c r="E2" s="11" t="n">
        <x:v>845803</x:v>
      </x:c>
      <x:c r="F2" s="11" t="n">
        <x:v>3425686</x:v>
      </x:c>
      <x:c r="G2" s="11" t="n">
        <x:v>37453712</x:v>
      </x:c>
      <x:c r="H2" s="11" t="n">
        <x:v>659423386</x:v>
      </x:c>
      <x:c r="I2" s="11" t="n">
        <x:v>41725201</x:v>
      </x:c>
      <x:c r="J2" s="11" t="n">
        <x:v>701148587</x:v>
      </x:c>
      <x:c r="K2" s="7" t="str">
        <x:v>claude-opus-4-8</x:v>
      </x:c>
    </x:row>
    <x:row r="3">
      <x:c r="A3" s="7" t="str">
        <x:v>/Users/wepie/PieBox/Projects/untitled-mp59d9zjkqf6/assets/ugc-modes/modeGroupSnake</x:v>
      </x:c>
      <x:c r="B3" s="7" t="str">
        <x:v>2026-06-03 ~ 2026-07-01</x:v>
      </x:c>
      <x:c r="C3" s="11" t="n">
        <x:v>426</x:v>
      </x:c>
      <x:c r="D3" s="11" t="n">
        <x:v>6</x:v>
      </x:c>
      <x:c r="E3" s="11" t="n">
        <x:v>67207</x:v>
      </x:c>
      <x:c r="F3" s="11" t="n">
        <x:v>385832</x:v>
      </x:c>
      <x:c r="G3" s="11" t="n">
        <x:v>1885430</x:v>
      </x:c>
      <x:c r="H3" s="11" t="n">
        <x:v>169928245</x:v>
      </x:c>
      <x:c r="I3" s="11" t="n">
        <x:v>2338469</x:v>
      </x:c>
      <x:c r="J3" s="11" t="n">
        <x:v>172266714</x:v>
      </x:c>
      <x:c r="K3" s="7" t="str">
        <x:v>claude-opus-4-8</x:v>
      </x:c>
    </x:row>
    <x:row r="4">
      <x:c r="A4" s="7" t="str">
        <x:v>/Users/wepie/PieBox/Projects/untitled-mp59d9zjkqf6/assets/ugc-modes/modeDaweidai</x:v>
      </x:c>
      <x:c r="B4" s="7" t="str">
        <x:v>2026-06-17 ~ 2026-06-18</x:v>
      </x:c>
      <x:c r="C4" s="11" t="n">
        <x:v>29</x:v>
      </x:c>
      <x:c r="D4" s="11" t="n">
        <x:v>1</x:v>
      </x:c>
      <x:c r="E4" s="11" t="n">
        <x:v>743</x:v>
      </x:c>
      <x:c r="F4" s="11" t="n">
        <x:v>31796</x:v>
      </x:c>
      <x:c r="G4" s="11" t="n">
        <x:v>58108</x:v>
      </x:c>
      <x:c r="H4" s="11" t="n">
        <x:v>19286258</x:v>
      </x:c>
      <x:c r="I4" s="11" t="n">
        <x:v>90647</x:v>
      </x:c>
      <x:c r="J4" s="11" t="n">
        <x:v>19376905</x:v>
      </x:c>
      <x:c r="K4" s="7" t="str">
        <x:v>claude-opus-4-8</x:v>
      </x:c>
    </x:row>
    <x:row r="5">
      <x:c r="A5" s="7" t="str">
        <x:v>/Users/wepie/PieBox/Projects/untitled-mp59d9zjkqf6/tools</x:v>
      </x:c>
      <x:c r="B5" s="7" t="str">
        <x:v>2026-06-18 ~ 2026-06-25</x:v>
      </x:c>
      <x:c r="C5" s="11" t="n">
        <x:v>88</x:v>
      </x:c>
      <x:c r="D5" s="11" t="n">
        <x:v>2</x:v>
      </x:c>
      <x:c r="E5" s="11" t="n">
        <x:v>10185</x:v>
      </x:c>
      <x:c r="F5" s="11" t="n">
        <x:v>108057</x:v>
      </x:c>
      <x:c r="G5" s="11" t="n">
        <x:v>196971</x:v>
      </x:c>
      <x:c r="H5" s="11" t="n">
        <x:v>18531111</x:v>
      </x:c>
      <x:c r="I5" s="11" t="n">
        <x:v>315213</x:v>
      </x:c>
      <x:c r="J5" s="11" t="n">
        <x:v>18846324</x:v>
      </x:c>
      <x:c r="K5" s="7" t="str">
        <x:v>claude-opus-4-8</x:v>
      </x:c>
    </x:row>
    <x:row r="6">
      <x:c r="A6" s="7" t="str">
        <x:v>/Users/wepie/PieBox/files</x:v>
      </x:c>
      <x:c r="B6" s="7" t="str">
        <x:v>2026-06-24 ~ 2026-06-24</x:v>
      </x:c>
      <x:c r="C6" s="11" t="n">
        <x:v>152</x:v>
      </x:c>
      <x:c r="D6" s="11" t="n">
        <x:v>4</x:v>
      </x:c>
      <x:c r="E6" s="11" t="n">
        <x:v>9096</x:v>
      </x:c>
      <x:c r="F6" s="11" t="n">
        <x:v>184549</x:v>
      </x:c>
      <x:c r="G6" s="11" t="n">
        <x:v>1296841</x:v>
      </x:c>
      <x:c r="H6" s="11" t="n">
        <x:v>12788744</x:v>
      </x:c>
      <x:c r="I6" s="11" t="n">
        <x:v>1490486</x:v>
      </x:c>
      <x:c r="J6" s="11" t="n">
        <x:v>14279230</x:v>
      </x:c>
      <x:c r="K6" s="7" t="str">
        <x:v>claude-opus-4-8</x:v>
      </x:c>
    </x:row>
    <x:row r="7">
      <x:c r="A7" s="7" t="str">
        <x:v>/Users/wepie/PieBox/files/Gaming</x:v>
      </x:c>
      <x:c r="B7" s="7" t="str">
        <x:v>2026-06-24 ~ 2026-06-24</x:v>
      </x:c>
      <x:c r="C7" s="11" t="n">
        <x:v>49</x:v>
      </x:c>
      <x:c r="D7" s="11" t="n">
        <x:v>1</x:v>
      </x:c>
      <x:c r="E7" s="11" t="n">
        <x:v>10180</x:v>
      </x:c>
      <x:c r="F7" s="11" t="n">
        <x:v>114637</x:v>
      </x:c>
      <x:c r="G7" s="11" t="n">
        <x:v>165726</x:v>
      </x:c>
      <x:c r="H7" s="11" t="n">
        <x:v>7377689</x:v>
      </x:c>
      <x:c r="I7" s="11" t="n">
        <x:v>290543</x:v>
      </x:c>
      <x:c r="J7" s="11" t="n">
        <x:v>7668232</x:v>
      </x:c>
      <x:c r="K7" s="7" t="str">
        <x:v>claude-opus-4-8</x:v>
      </x:c>
    </x:row>
    <x:row r="8">
      <x:c r="A8" s="7" t="str">
        <x:v>/Users/wepie/PieBox/Projects/untitled-mp59d9zjkqf6/assets/ugc-modes</x:v>
      </x:c>
      <x:c r="B8" s="7" t="str">
        <x:v>2026-06-03 ~ 2026-06-22</x:v>
      </x:c>
      <x:c r="C8" s="11" t="n">
        <x:v>15</x:v>
      </x:c>
      <x:c r="D8" s="11" t="n">
        <x:v>2</x:v>
      </x:c>
      <x:c r="E8" s="11" t="n">
        <x:v>274</x:v>
      </x:c>
      <x:c r="F8" s="11" t="n">
        <x:v>31800</x:v>
      </x:c>
      <x:c r="G8" s="11" t="n">
        <x:v>379807</x:v>
      </x:c>
      <x:c r="H8" s="11" t="n">
        <x:v>3729981</x:v>
      </x:c>
      <x:c r="I8" s="11" t="n">
        <x:v>411881</x:v>
      </x:c>
      <x:c r="J8" s="11" t="n">
        <x:v>4141862</x:v>
      </x:c>
      <x:c r="K8" s="7" t="str">
        <x:v>claude-opus-4-8</x:v>
      </x:c>
    </x:row>
    <x:row r="9">
      <x:c r="A9" s="7" t="str">
        <x:v>/Users/wepie/PieBox/Projects/untitled-mp59d9zjkqf6/assets/ugc-modes/modeGroupSnake/res</x:v>
      </x:c>
      <x:c r="B9" s="7" t="str">
        <x:v>2026-06-03 ~ 2026-06-23</x:v>
      </x:c>
      <x:c r="C9" s="11" t="n">
        <x:v>27</x:v>
      </x:c>
      <x:c r="D9" s="11" t="n">
        <x:v>2</x:v>
      </x:c>
      <x:c r="E9" s="11" t="n">
        <x:v>1081</x:v>
      </x:c>
      <x:c r="F9" s="11" t="n">
        <x:v>26931</x:v>
      </x:c>
      <x:c r="G9" s="11" t="n">
        <x:v>136285</x:v>
      </x:c>
      <x:c r="H9" s="11" t="n">
        <x:v>2538899</x:v>
      </x:c>
      <x:c r="I9" s="11" t="n">
        <x:v>164297</x:v>
      </x:c>
      <x:c r="J9" s="11" t="n">
        <x:v>2703196</x:v>
      </x:c>
      <x:c r="K9" s="7" t="str">
        <x:v>claude-opus-4-8</x:v>
      </x:c>
    </x:row>
    <x:row r="10">
      <x:c r="A10" s="7" t="str">
        <x:v>/Users/wepie/My project</x:v>
      </x:c>
      <x:c r="B10" s="7" t="str">
        <x:v>2026-06-26 ~ 2026-06-26</x:v>
      </x:c>
      <x:c r="C10" s="11" t="n">
        <x:v>25</x:v>
      </x:c>
      <x:c r="D10" s="11" t="n">
        <x:v>1</x:v>
      </x:c>
      <x:c r="E10" s="11" t="n">
        <x:v>35</x:v>
      </x:c>
      <x:c r="F10" s="11" t="n">
        <x:v>33961</x:v>
      </x:c>
      <x:c r="G10" s="11" t="n">
        <x:v>48593</x:v>
      </x:c>
      <x:c r="H10" s="11" t="n">
        <x:v>994779</x:v>
      </x:c>
      <x:c r="I10" s="11" t="n">
        <x:v>82589</x:v>
      </x:c>
      <x:c r="J10" s="11" t="n">
        <x:v>1077368</x:v>
      </x:c>
      <x:c r="K10" s="7" t="str">
        <x:v>claude-sonnet-4-6</x:v>
      </x:c>
    </x:row>
    <x:row r="11">
      <x:c r="A11" s="7" t="str">
        <x:v>/Users/wepie/PieBox/Projects/untitled-mp59d9zjkqf6/assets/ugc-modes/modeDaweidai/config</x:v>
      </x:c>
      <x:c r="B11" s="7" t="str">
        <x:v>2026-06-18 ~ 2026-06-18</x:v>
      </x:c>
      <x:c r="C11" s="11" t="n">
        <x:v>1</x:v>
      </x:c>
      <x:c r="D11" s="11" t="n">
        <x:v>1</x:v>
      </x:c>
      <x:c r="E11" s="11" t="n">
        <x:v>2</x:v>
      </x:c>
      <x:c r="F11" s="11" t="n">
        <x:v>1001</x:v>
      </x:c>
      <x:c r="G11" s="11" t="n">
        <x:v>8524</x:v>
      </x:c>
      <x:c r="H11" s="11" t="n">
        <x:v>713633</x:v>
      </x:c>
      <x:c r="I11" s="11" t="n">
        <x:v>9527</x:v>
      </x:c>
      <x:c r="J11" s="11" t="n">
        <x:v>723160</x:v>
      </x:c>
      <x:c r="K11" s="7" t="str">
        <x:v>claude-opus-4-8</x:v>
      </x:c>
    </x:row>
    <x:row r="12">
      <x:c r="A12" s="7" t="str">
        <x:v>/Users/wepie/PieBox/Projects/untitled-mp59d9zjkqf6/assets/ugc-modes/modeGroupSnake/res/effect</x:v>
      </x:c>
      <x:c r="B12" s="7" t="str">
        <x:v>2026-06-23 ~ 2026-06-23</x:v>
      </x:c>
      <x:c r="C12" s="11" t="n">
        <x:v>2</x:v>
      </x:c>
      <x:c r="D12" s="11" t="n">
        <x:v>1</x:v>
      </x:c>
      <x:c r="E12" s="11" t="n">
        <x:v>126</x:v>
      </x:c>
      <x:c r="F12" s="11" t="n">
        <x:v>3823</x:v>
      </x:c>
      <x:c r="G12" s="11" t="n">
        <x:v>16994</x:v>
      </x:c>
      <x:c r="H12" s="11" t="n">
        <x:v>684434</x:v>
      </x:c>
      <x:c r="I12" s="11" t="n">
        <x:v>20943</x:v>
      </x:c>
      <x:c r="J12" s="11" t="n">
        <x:v>705377</x:v>
      </x:c>
      <x:c r="K12" s="7" t="str">
        <x:v>claude-opus-4-8</x:v>
      </x:c>
    </x:row>
    <x:row r="13">
      <x:c r="A13" s="7" t="str">
        <x:v>/Users/wepie/Desktop/QA</x:v>
      </x:c>
      <x:c r="B13" s="7" t="str">
        <x:v>2026-06-17 ~ 2026-06-17</x:v>
      </x:c>
      <x:c r="C13" s="11" t="n">
        <x:v>18</x:v>
      </x:c>
      <x:c r="D13" s="11" t="n">
        <x:v>1</x:v>
      </x:c>
      <x:c r="E13" s="11" t="n">
        <x:v>2685</x:v>
      </x:c>
      <x:c r="F13" s="11" t="n">
        <x:v>37590</x:v>
      </x:c>
      <x:c r="G13" s="11" t="n">
        <x:v>42438</x:v>
      </x:c>
      <x:c r="H13" s="11" t="n">
        <x:v>612141</x:v>
      </x:c>
      <x:c r="I13" s="11" t="n">
        <x:v>82713</x:v>
      </x:c>
      <x:c r="J13" s="11" t="n">
        <x:v>694854</x:v>
      </x:c>
      <x:c r="K13" s="7" t="str">
        <x:v>claude-opus-4-8</x:v>
      </x:c>
    </x:row>
    <x:row r="14">
      <x:c r="A14" s="7" t="str">
        <x:v>/Users/wepie/workspace/snake-minigame</x:v>
      </x:c>
      <x:c r="B14" s="7" t="str">
        <x:v>2026-06-15 ~ 2026-06-24</x:v>
      </x:c>
      <x:c r="C14" s="11" t="n">
        <x:v>13</x:v>
      </x:c>
      <x:c r="D14" s="11" t="n">
        <x:v>3</x:v>
      </x:c>
      <x:c r="E14" s="11" t="n">
        <x:v>14204</x:v>
      </x:c>
      <x:c r="F14" s="11" t="n">
        <x:v>5689</x:v>
      </x:c>
      <x:c r="G14" s="11" t="n">
        <x:v>46015</x:v>
      </x:c>
      <x:c r="H14" s="11" t="n">
        <x:v>365752</x:v>
      </x:c>
      <x:c r="I14" s="11" t="n">
        <x:v>65908</x:v>
      </x:c>
      <x:c r="J14" s="11" t="n">
        <x:v>431660</x:v>
      </x:c>
      <x:c r="K14" s="7" t="str">
        <x:v>claude-sonnet-4-6</x:v>
      </x:c>
    </x:row>
    <x:row r="15">
      <x:c r="A15" s="7" t="str">
        <x:v>/Users/wepie/PieBox/Projects/untitled-mp59d9zjkqf6/assets</x:v>
      </x:c>
      <x:c r="B15" s="7" t="str">
        <x:v>2026-06-22 ~ 2026-06-22</x:v>
      </x:c>
      <x:c r="C15" s="11" t="n">
        <x:v>1</x:v>
      </x:c>
      <x:c r="D15" s="11" t="n">
        <x:v>1</x:v>
      </x:c>
      <x:c r="E15" s="11" t="n">
        <x:v>2</x:v>
      </x:c>
      <x:c r="F15" s="11" t="n">
        <x:v>4218</x:v>
      </x:c>
      <x:c r="G15" s="11" t="n">
        <x:v>2212</x:v>
      </x:c>
      <x:c r="H15" s="11" t="n">
        <x:v>339179</x:v>
      </x:c>
      <x:c r="I15" s="11" t="n">
        <x:v>6432</x:v>
      </x:c>
      <x:c r="J15" s="11" t="n">
        <x:v>345611</x:v>
      </x:c>
      <x:c r="K15" s="7" t="str">
        <x:v>claude-opus-4-8</x:v>
      </x:c>
    </x:row>
    <x:row r="16">
      <x:c r="A16" s="7" t="str">
        <x:v>/Users/wepie/PieBox/Projects/untitled-mp59d9zjkqf6/assets/loading/script/webgl</x:v>
      </x:c>
      <x:c r="B16" s="7" t="str">
        <x:v>2026-07-01 ~ 2026-07-01</x:v>
      </x:c>
      <x:c r="C16" s="11" t="n">
        <x:v>1</x:v>
      </x:c>
      <x:c r="D16" s="11" t="n">
        <x:v>1</x:v>
      </x:c>
      <x:c r="E16" s="11" t="n">
        <x:v>2</x:v>
      </x:c>
      <x:c r="F16" s="11" t="n">
        <x:v>1041</x:v>
      </x:c>
      <x:c r="G16" s="11" t="n">
        <x:v>1879</x:v>
      </x:c>
      <x:c r="H16" s="11" t="n">
        <x:v>165943</x:v>
      </x:c>
      <x:c r="I16" s="11" t="n">
        <x:v>2922</x:v>
      </x:c>
      <x:c r="J16" s="11" t="n">
        <x:v>168865</x:v>
      </x:c>
      <x:c r="K16" s="7" t="str">
        <x:v>claude-opus-4-8</x:v>
      </x:c>
    </x:row>
    <x:row r="17">
      <x:c r="A17" s="8" t="str">
        <x:v>/Users/wepie/shaderTest</x:v>
      </x:c>
      <x:c r="B17" s="8" t="str">
        <x:v>2026-06-16 ~ 2026-06-16</x:v>
      </x:c>
      <x:c r="C17" s="12" t="n">
        <x:v>2</x:v>
      </x:c>
      <x:c r="D17" s="12" t="n">
        <x:v>1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8" t="str">
        <x:v>&lt;synthetic&gt;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</x:cols>
  <x:sheetData>
    <x:row r="1">
      <x:c r="A1" s="6" t="str">
        <x:v>Date</x:v>
      </x:c>
      <x:c r="B1" s="6" t="str">
        <x:v>Project cwd</x:v>
      </x:c>
      <x:c r="C1" s="6" t="str">
        <x:v>Requests</x:v>
      </x:c>
      <x:c r="D1" s="6" t="str">
        <x:v>Sessions</x:v>
      </x:c>
      <x:c r="E1" s="6" t="str">
        <x:v>Input</x:v>
      </x:c>
      <x:c r="F1" s="6" t="str">
        <x:v>Output</x:v>
      </x:c>
      <x:c r="G1" s="6" t="str">
        <x:v>Cache Create</x:v>
      </x:c>
      <x:c r="H1" s="6" t="str">
        <x:v>Cache Read</x:v>
      </x:c>
      <x:c r="I1" s="6" t="str">
        <x:v>Without Cache Read</x:v>
      </x:c>
      <x:c r="J1" s="6" t="str">
        <x:v>Total</x:v>
      </x:c>
      <x:c r="K1" s="6" t="str">
        <x:v>Primary Model</x:v>
      </x:c>
    </x:row>
    <x:row r="2">
      <x:c r="A2" s="9" t="n">
        <x:v>46175</x:v>
      </x:c>
      <x:c r="B2" s="7" t="str">
        <x:v>/Users/wepie/PieBox/Projects/untitled-mp59d9zjkqf6</x:v>
      </x:c>
      <x:c r="C2" s="11" t="n">
        <x:v>10</x:v>
      </x:c>
      <x:c r="D2" s="11" t="n">
        <x:v>1</x:v>
      </x:c>
      <x:c r="E2" s="11" t="n">
        <x:v>33469</x:v>
      </x:c>
      <x:c r="F2" s="11" t="n">
        <x:v>34271</x:v>
      </x:c>
      <x:c r="G2" s="11" t="n">
        <x:v>79702</x:v>
      </x:c>
      <x:c r="H2" s="11" t="n">
        <x:v>643481</x:v>
      </x:c>
      <x:c r="I2" s="11" t="n">
        <x:f>E2+F2+G2</x:f>
        <x:v>147442</x:v>
      </x:c>
      <x:c r="J2" s="11" t="n">
        <x:f>I2+H2</x:f>
        <x:v>790923</x:v>
      </x:c>
      <x:c r="K2" s="7" t="str">
        <x:v>claude-opus-4-8</x:v>
      </x:c>
    </x:row>
    <x:row r="3">
      <x:c r="A3" s="9" t="n">
        <x:v>46176</x:v>
      </x:c>
      <x:c r="B3" s="7" t="str">
        <x:v>/Users/wepie/PieBox/Projects/untitled-mp59d9zjkqf6</x:v>
      </x:c>
      <x:c r="C3" s="11" t="n">
        <x:v>51</x:v>
      </x:c>
      <x:c r="D3" s="11" t="n">
        <x:v>1</x:v>
      </x:c>
      <x:c r="E3" s="11" t="n">
        <x:v>1455</x:v>
      </x:c>
      <x:c r="F3" s="11" t="n">
        <x:v>28167</x:v>
      </x:c>
      <x:c r="G3" s="11" t="n">
        <x:v>216500</x:v>
      </x:c>
      <x:c r="H3" s="11" t="n">
        <x:v>5249354</x:v>
      </x:c>
      <x:c r="I3" s="11" t="n">
        <x:f>E3+F3+G3</x:f>
        <x:v>246122</x:v>
      </x:c>
      <x:c r="J3" s="11" t="n">
        <x:f>I3+H3</x:f>
        <x:v>5495476</x:v>
      </x:c>
      <x:c r="K3" s="7" t="str">
        <x:v>claude-opus-4-8</x:v>
      </x:c>
    </x:row>
    <x:row r="4">
      <x:c r="A4" s="9" t="n">
        <x:v>46176</x:v>
      </x:c>
      <x:c r="B4" s="7" t="str">
        <x:v>/Users/wepie/PieBox/Projects/untitled-mp59d9zjkqf6/assets/ugc-modes</x:v>
      </x:c>
      <x:c r="C4" s="11" t="n">
        <x:v>4</x:v>
      </x:c>
      <x:c r="D4" s="11" t="n">
        <x:v>1</x:v>
      </x:c>
      <x:c r="E4" s="11" t="n">
        <x:v>130</x:v>
      </x:c>
      <x:c r="F4" s="11" t="n">
        <x:v>5373</x:v>
      </x:c>
      <x:c r="G4" s="11" t="n">
        <x:v>3718</x:v>
      </x:c>
      <x:c r="H4" s="11" t="n">
        <x:v>450132</x:v>
      </x:c>
      <x:c r="I4" s="11" t="n">
        <x:f>E4+F4+G4</x:f>
        <x:v>9221</x:v>
      </x:c>
      <x:c r="J4" s="11" t="n">
        <x:f>I4+H4</x:f>
        <x:v>459353</x:v>
      </x:c>
      <x:c r="K4" s="7" t="str">
        <x:v>claude-opus-4-8</x:v>
      </x:c>
    </x:row>
    <x:row r="5">
      <x:c r="A5" s="9" t="n">
        <x:v>46176</x:v>
      </x:c>
      <x:c r="B5" s="7" t="str">
        <x:v>/Users/wepie/PieBox/Projects/untitled-mp59d9zjkqf6/assets/ugc-modes/modeGroupSnake</x:v>
      </x:c>
      <x:c r="C5" s="11" t="n">
        <x:v>3</x:v>
      </x:c>
      <x:c r="D5" s="11" t="n">
        <x:v>1</x:v>
      </x:c>
      <x:c r="E5" s="11" t="n">
        <x:v>128</x:v>
      </x:c>
      <x:c r="F5" s="11" t="n">
        <x:v>3268</x:v>
      </x:c>
      <x:c r="G5" s="11" t="n">
        <x:v>9063</x:v>
      </x:c>
      <x:c r="H5" s="11" t="n">
        <x:v>248674</x:v>
      </x:c>
      <x:c r="I5" s="11" t="n">
        <x:f>E5+F5+G5</x:f>
        <x:v>12459</x:v>
      </x:c>
      <x:c r="J5" s="11" t="n">
        <x:f>I5+H5</x:f>
        <x:v>261133</x:v>
      </x:c>
      <x:c r="K5" s="7" t="str">
        <x:v>claude-opus-4-8</x:v>
      </x:c>
    </x:row>
    <x:row r="6">
      <x:c r="A6" s="9" t="n">
        <x:v>46176</x:v>
      </x:c>
      <x:c r="B6" s="7" t="str">
        <x:v>/Users/wepie/PieBox/Projects/untitled-mp59d9zjkqf6/assets/ugc-modes/modeGroupSnake/res</x:v>
      </x:c>
      <x:c r="C6" s="11" t="n">
        <x:v>1</x:v>
      </x:c>
      <x:c r="D6" s="11" t="n">
        <x:v>1</x:v>
      </x:c>
      <x:c r="E6" s="11" t="n">
        <x:v>2</x:v>
      </x:c>
      <x:c r="F6" s="11" t="n">
        <x:v>945</x:v>
      </x:c>
      <x:c r="G6" s="11" t="n">
        <x:v>846</x:v>
      </x:c>
      <x:c r="H6" s="11" t="n">
        <x:v>129665</x:v>
      </x:c>
      <x:c r="I6" s="11" t="n">
        <x:f>E6+F6+G6</x:f>
        <x:v>1793</x:v>
      </x:c>
      <x:c r="J6" s="11" t="n">
        <x:f>I6+H6</x:f>
        <x:v>131458</x:v>
      </x:c>
      <x:c r="K6" s="7" t="str">
        <x:v>claude-opus-4-8</x:v>
      </x:c>
    </x:row>
    <x:row r="7">
      <x:c r="A7" s="9" t="n">
        <x:v>46177</x:v>
      </x:c>
      <x:c r="B7" s="7" t="str">
        <x:v>/Users/wepie/PieBox/Projects/untitled-mp59d9zjkqf6</x:v>
      </x:c>
      <x:c r="C7" s="11" t="n">
        <x:v>502</x:v>
      </x:c>
      <x:c r="D7" s="11" t="n">
        <x:v>2</x:v>
      </x:c>
      <x:c r="E7" s="11" t="n">
        <x:v>77946</x:v>
      </x:c>
      <x:c r="F7" s="11" t="n">
        <x:v>390205</x:v>
      </x:c>
      <x:c r="G7" s="11" t="n">
        <x:v>5244925</x:v>
      </x:c>
      <x:c r="H7" s="11" t="n">
        <x:v>82013217</x:v>
      </x:c>
      <x:c r="I7" s="11" t="n">
        <x:f>E7+F7+G7</x:f>
        <x:v>5713076</x:v>
      </x:c>
      <x:c r="J7" s="11" t="n">
        <x:f>I7+H7</x:f>
        <x:v>87726293</x:v>
      </x:c>
      <x:c r="K7" s="7" t="str">
        <x:v>claude-opus-4-8</x:v>
      </x:c>
    </x:row>
    <x:row r="8">
      <x:c r="A8" s="9" t="n">
        <x:v>46178</x:v>
      </x:c>
      <x:c r="B8" s="7" t="str">
        <x:v>/Users/wepie/PieBox/Projects/untitled-mp59d9zjkqf6</x:v>
      </x:c>
      <x:c r="C8" s="11" t="n">
        <x:v>233</x:v>
      </x:c>
      <x:c r="D8" s="11" t="n">
        <x:v>4</x:v>
      </x:c>
      <x:c r="E8" s="11" t="n">
        <x:v>43643</x:v>
      </x:c>
      <x:c r="F8" s="11" t="n">
        <x:v>186324</x:v>
      </x:c>
      <x:c r="G8" s="11" t="n">
        <x:v>1338432</x:v>
      </x:c>
      <x:c r="H8" s="11" t="n">
        <x:v>31661347</x:v>
      </x:c>
      <x:c r="I8" s="11" t="n">
        <x:f>E8+F8+G8</x:f>
        <x:v>1568399</x:v>
      </x:c>
      <x:c r="J8" s="11" t="n">
        <x:f>I8+H8</x:f>
        <x:v>33229746</x:v>
      </x:c>
      <x:c r="K8" s="7" t="str">
        <x:v>claude-opus-4-8</x:v>
      </x:c>
    </x:row>
    <x:row r="9">
      <x:c r="A9" s="9" t="n">
        <x:v>46178</x:v>
      </x:c>
      <x:c r="B9" s="7" t="str">
        <x:v>/Users/wepie/PieBox/Projects/untitled-mp59d9zjkqf6/assets/ugc-modes/modeGroupSnake</x:v>
      </x:c>
      <x:c r="C9" s="11" t="n">
        <x:v>55</x:v>
      </x:c>
      <x:c r="D9" s="11" t="n">
        <x:v>2</x:v>
      </x:c>
      <x:c r="E9" s="11" t="n">
        <x:v>4605</x:v>
      </x:c>
      <x:c r="F9" s="11" t="n">
        <x:v>42364</x:v>
      </x:c>
      <x:c r="G9" s="11" t="n">
        <x:v>423480</x:v>
      </x:c>
      <x:c r="H9" s="11" t="n">
        <x:v>8058243</x:v>
      </x:c>
      <x:c r="I9" s="11" t="n">
        <x:f>E9+F9+G9</x:f>
        <x:v>470449</x:v>
      </x:c>
      <x:c r="J9" s="11" t="n">
        <x:f>I9+H9</x:f>
        <x:v>8528692</x:v>
      </x:c>
      <x:c r="K9" s="7" t="str">
        <x:v>claude-opus-4-8</x:v>
      </x:c>
    </x:row>
    <x:row r="10">
      <x:c r="A10" s="9" t="n">
        <x:v>46181</x:v>
      </x:c>
      <x:c r="B10" s="7" t="str">
        <x:v>/Users/wepie/PieBox/Projects/untitled-mp59d9zjkqf6</x:v>
      </x:c>
      <x:c r="C10" s="11" t="n">
        <x:v>17</x:v>
      </x:c>
      <x:c r="D10" s="11" t="n">
        <x:v>1</x:v>
      </x:c>
      <x:c r="E10" s="11" t="n">
        <x:v>0</x:v>
      </x:c>
      <x:c r="F10" s="11" t="n">
        <x:v>12423</x:v>
      </x:c>
      <x:c r="G10" s="11" t="n">
        <x:v>0</x:v>
      </x:c>
      <x:c r="H10" s="11" t="n">
        <x:v>0</x:v>
      </x:c>
      <x:c r="I10" s="11" t="n">
        <x:f>E10+F10+G10</x:f>
        <x:v>12423</x:v>
      </x:c>
      <x:c r="J10" s="11" t="n">
        <x:f>I10+H10</x:f>
        <x:v>12423</x:v>
      </x:c>
      <x:c r="K10" s="7" t="str">
        <x:v>claude-opus-4-8</x:v>
      </x:c>
    </x:row>
    <x:row r="11">
      <x:c r="A11" s="9" t="n">
        <x:v>46181</x:v>
      </x:c>
      <x:c r="B11" s="7" t="str">
        <x:v>/Users/wepie/PieBox/Projects/untitled-mp59d9zjkqf6/assets/ugc-modes/modeGroupSnake</x:v>
      </x:c>
      <x:c r="C11" s="11" t="n">
        <x:v>4</x:v>
      </x:c>
      <x:c r="D11" s="11" t="n">
        <x:v>1</x:v>
      </x:c>
      <x:c r="E11" s="11" t="n">
        <x:v>0</x:v>
      </x:c>
      <x:c r="F11" s="11" t="n">
        <x:v>2836</x:v>
      </x:c>
      <x:c r="G11" s="11" t="n">
        <x:v>0</x:v>
      </x:c>
      <x:c r="H11" s="11" t="n">
        <x:v>0</x:v>
      </x:c>
      <x:c r="I11" s="11" t="n">
        <x:f>E11+F11+G11</x:f>
        <x:v>2836</x:v>
      </x:c>
      <x:c r="J11" s="11" t="n">
        <x:f>I11+H11</x:f>
        <x:v>2836</x:v>
      </x:c>
      <x:c r="K11" s="7" t="str">
        <x:v>claude-opus-4-8</x:v>
      </x:c>
    </x:row>
    <x:row r="12">
      <x:c r="A12" s="9" t="n">
        <x:v>46182</x:v>
      </x:c>
      <x:c r="B12" s="7" t="str">
        <x:v>/Users/wepie/PieBox/Projects/untitled-mp59d9zjkqf6</x:v>
      </x:c>
      <x:c r="C12" s="11" t="n">
        <x:v>36</x:v>
      </x:c>
      <x:c r="D12" s="11" t="n">
        <x:v>1</x:v>
      </x:c>
      <x:c r="E12" s="11" t="n">
        <x:v>804</x:v>
      </x:c>
      <x:c r="F12" s="11" t="n">
        <x:v>15605</x:v>
      </x:c>
      <x:c r="G12" s="11" t="n">
        <x:v>867768</x:v>
      </x:c>
      <x:c r="H12" s="11" t="n">
        <x:v>9438467</x:v>
      </x:c>
      <x:c r="I12" s="11" t="n">
        <x:f>E12+F12+G12</x:f>
        <x:v>884177</x:v>
      </x:c>
      <x:c r="J12" s="11" t="n">
        <x:f>I12+H12</x:f>
        <x:v>10322644</x:v>
      </x:c>
      <x:c r="K12" s="7" t="str">
        <x:v>claude-opus-4-8</x:v>
      </x:c>
    </x:row>
    <x:row r="13">
      <x:c r="A13" s="9" t="n">
        <x:v>46182</x:v>
      </x:c>
      <x:c r="B13" s="7" t="str">
        <x:v>/Users/wepie/PieBox/Projects/untitled-mp59d9zjkqf6/assets/ugc-modes/modeGroupSnake</x:v>
      </x:c>
      <x:c r="C13" s="11" t="n">
        <x:v>28</x:v>
      </x:c>
      <x:c r="D13" s="11" t="n">
        <x:v>1</x:v>
      </x:c>
      <x:c r="E13" s="11" t="n">
        <x:v>666</x:v>
      </x:c>
      <x:c r="F13" s="11" t="n">
        <x:v>11238</x:v>
      </x:c>
      <x:c r="G13" s="11" t="n">
        <x:v>30732</x:v>
      </x:c>
      <x:c r="H13" s="11" t="n">
        <x:v>8327652</x:v>
      </x:c>
      <x:c r="I13" s="11" t="n">
        <x:f>E13+F13+G13</x:f>
        <x:v>42636</x:v>
      </x:c>
      <x:c r="J13" s="11" t="n">
        <x:f>I13+H13</x:f>
        <x:v>8370288</x:v>
      </x:c>
      <x:c r="K13" s="7" t="str">
        <x:v>claude-opus-4-8</x:v>
      </x:c>
    </x:row>
    <x:row r="14">
      <x:c r="A14" s="9" t="n">
        <x:v>46188</x:v>
      </x:c>
      <x:c r="B14" s="7" t="str">
        <x:v>/Users/wepie/PieBox/Projects/untitled-mp59d9zjkqf6</x:v>
      </x:c>
      <x:c r="C14" s="11" t="n">
        <x:v>270</x:v>
      </x:c>
      <x:c r="D14" s="11" t="n">
        <x:v>5</x:v>
      </x:c>
      <x:c r="E14" s="11" t="n">
        <x:v>15519</x:v>
      </x:c>
      <x:c r="F14" s="11" t="n">
        <x:v>342763</x:v>
      </x:c>
      <x:c r="G14" s="11" t="n">
        <x:v>3269650</x:v>
      </x:c>
      <x:c r="H14" s="11" t="n">
        <x:v>109791010</x:v>
      </x:c>
      <x:c r="I14" s="11" t="n">
        <x:f>E14+F14+G14</x:f>
        <x:v>3627932</x:v>
      </x:c>
      <x:c r="J14" s="11" t="n">
        <x:f>I14+H14</x:f>
        <x:v>113418942</x:v>
      </x:c>
      <x:c r="K14" s="7" t="str">
        <x:v>claude-opus-4-8</x:v>
      </x:c>
    </x:row>
    <x:row r="15">
      <x:c r="A15" s="9" t="n">
        <x:v>46188</x:v>
      </x:c>
      <x:c r="B15" s="7" t="str">
        <x:v>/Users/wepie/PieBox/Projects/untitled-mp59d9zjkqf6/assets/ugc-modes/modeGroupSnake</x:v>
      </x:c>
      <x:c r="C15" s="11" t="n">
        <x:v>66</x:v>
      </x:c>
      <x:c r="D15" s="11" t="n">
        <x:v>2</x:v>
      </x:c>
      <x:c r="E15" s="11" t="n">
        <x:v>6729</x:v>
      </x:c>
      <x:c r="F15" s="11" t="n">
        <x:v>67989</x:v>
      </x:c>
      <x:c r="G15" s="11" t="n">
        <x:v>634521</x:v>
      </x:c>
      <x:c r="H15" s="11" t="n">
        <x:v>37822661</x:v>
      </x:c>
      <x:c r="I15" s="11" t="n">
        <x:f>E15+F15+G15</x:f>
        <x:v>709239</x:v>
      </x:c>
      <x:c r="J15" s="11" t="n">
        <x:f>I15+H15</x:f>
        <x:v>38531900</x:v>
      </x:c>
      <x:c r="K15" s="7" t="str">
        <x:v>claude-opus-4-8</x:v>
      </x:c>
    </x:row>
    <x:row r="16">
      <x:c r="A16" s="9" t="n">
        <x:v>46188</x:v>
      </x:c>
      <x:c r="B16" s="7" t="str">
        <x:v>/Users/wepie/workspace/snake-minigame</x:v>
      </x:c>
      <x:c r="C16" s="11" t="n">
        <x:v>8</x:v>
      </x:c>
      <x:c r="D16" s="11" t="n">
        <x:v>1</x:v>
      </x:c>
      <x:c r="E16" s="11" t="n">
        <x:v>18</x:v>
      </x:c>
      <x:c r="F16" s="11" t="n">
        <x:v>1446</x:v>
      </x:c>
      <x:c r="G16" s="11" t="n">
        <x:v>15739</x:v>
      </x:c>
      <x:c r="H16" s="11" t="n">
        <x:v>248569</x:v>
      </x:c>
      <x:c r="I16" s="11" t="n">
        <x:f>E16+F16+G16</x:f>
        <x:v>17203</x:v>
      </x:c>
      <x:c r="J16" s="11" t="n">
        <x:f>I16+H16</x:f>
        <x:v>265772</x:v>
      </x:c>
      <x:c r="K16" s="7" t="str">
        <x:v>claude-sonnet-4-6</x:v>
      </x:c>
    </x:row>
    <x:row r="17">
      <x:c r="A17" s="9" t="n">
        <x:v>46189</x:v>
      </x:c>
      <x:c r="B17" s="7" t="str">
        <x:v>/Users/wepie/PieBox/Projects/untitled-mp59d9zjkqf6/assets/ugc-modes/modeGroupSnake</x:v>
      </x:c>
      <x:c r="C17" s="11" t="n">
        <x:v>67</x:v>
      </x:c>
      <x:c r="D17" s="11" t="n">
        <x:v>2</x:v>
      </x:c>
      <x:c r="E17" s="11" t="n">
        <x:v>4389</x:v>
      </x:c>
      <x:c r="F17" s="11" t="n">
        <x:v>53056</x:v>
      </x:c>
      <x:c r="G17" s="11" t="n">
        <x:v>97472</x:v>
      </x:c>
      <x:c r="H17" s="11" t="n">
        <x:v>55769549</x:v>
      </x:c>
      <x:c r="I17" s="11" t="n">
        <x:f>E17+F17+G17</x:f>
        <x:v>154917</x:v>
      </x:c>
      <x:c r="J17" s="11" t="n">
        <x:f>I17+H17</x:f>
        <x:v>55924466</x:v>
      </x:c>
      <x:c r="K17" s="7" t="str">
        <x:v>claude-opus-4-8</x:v>
      </x:c>
    </x:row>
    <x:row r="18">
      <x:c r="A18" s="9" t="n">
        <x:v>46189</x:v>
      </x:c>
      <x:c r="B18" s="7" t="str">
        <x:v>/Users/wepie/PieBox/Projects/untitled-mp59d9zjkqf6</x:v>
      </x:c>
      <x:c r="C18" s="11" t="n">
        <x:v>141</x:v>
      </x:c>
      <x:c r="D18" s="11" t="n">
        <x:v>5</x:v>
      </x:c>
      <x:c r="E18" s="11" t="n">
        <x:v>53753</x:v>
      </x:c>
      <x:c r="F18" s="11" t="n">
        <x:v>188874</x:v>
      </x:c>
      <x:c r="G18" s="11" t="n">
        <x:v>2500198</x:v>
      </x:c>
      <x:c r="H18" s="11" t="n">
        <x:v>33811525</x:v>
      </x:c>
      <x:c r="I18" s="11" t="n">
        <x:f>E18+F18+G18</x:f>
        <x:v>2742825</x:v>
      </x:c>
      <x:c r="J18" s="11" t="n">
        <x:f>I18+H18</x:f>
        <x:v>36554350</x:v>
      </x:c>
      <x:c r="K18" s="7" t="str">
        <x:v>claude-opus-4-8</x:v>
      </x:c>
    </x:row>
    <x:row r="19">
      <x:c r="A19" s="9" t="n">
        <x:v>46189</x:v>
      </x:c>
      <x:c r="B19" s="7" t="str">
        <x:v>/Users/wepie/shaderTest</x:v>
      </x:c>
      <x:c r="C19" s="11" t="n">
        <x:v>2</x:v>
      </x:c>
      <x:c r="D19" s="11" t="n">
        <x:v>1</x:v>
      </x:c>
      <x:c r="E19" s="11" t="n">
        <x:v>0</x:v>
      </x:c>
      <x:c r="F19" s="11" t="n">
        <x:v>0</x:v>
      </x:c>
      <x:c r="G19" s="11" t="n">
        <x:v>0</x:v>
      </x:c>
      <x:c r="H19" s="11" t="n">
        <x:v>0</x:v>
      </x:c>
      <x:c r="I19" s="11" t="n">
        <x:f>E19+F19+G19</x:f>
        <x:v>0</x:v>
      </x:c>
      <x:c r="J19" s="11" t="n">
        <x:f>I19+H19</x:f>
        <x:v>0</x:v>
      </x:c>
      <x:c r="K19" s="7" t="str">
        <x:v>&lt;synthetic&gt;</x:v>
      </x:c>
    </x:row>
    <x:row r="20">
      <x:c r="A20" s="9" t="n">
        <x:v>46190</x:v>
      </x:c>
      <x:c r="B20" s="7" t="str">
        <x:v>/Users/wepie/PieBox/Projects/untitled-mp59d9zjkqf6</x:v>
      </x:c>
      <x:c r="C20" s="11" t="n">
        <x:v>170</x:v>
      </x:c>
      <x:c r="D20" s="11" t="n">
        <x:v>2</x:v>
      </x:c>
      <x:c r="E20" s="11" t="n">
        <x:v>73593</x:v>
      </x:c>
      <x:c r="F20" s="11" t="n">
        <x:v>209765</x:v>
      </x:c>
      <x:c r="G20" s="11" t="n">
        <x:v>1873762</x:v>
      </x:c>
      <x:c r="H20" s="11" t="n">
        <x:v>37353060</x:v>
      </x:c>
      <x:c r="I20" s="11" t="n">
        <x:f>E20+F20+G20</x:f>
        <x:v>2157120</x:v>
      </x:c>
      <x:c r="J20" s="11" t="n">
        <x:f>I20+H20</x:f>
        <x:v>39510180</x:v>
      </x:c>
      <x:c r="K20" s="7" t="str">
        <x:v>claude-opus-4-8</x:v>
      </x:c>
    </x:row>
    <x:row r="21">
      <x:c r="A21" s="9" t="n">
        <x:v>46190</x:v>
      </x:c>
      <x:c r="B21" s="7" t="str">
        <x:v>/Users/wepie/PieBox/Projects/untitled-mp59d9zjkqf6/assets/ugc-modes/modeGroupSnake</x:v>
      </x:c>
      <x:c r="C21" s="11" t="n">
        <x:v>103</x:v>
      </x:c>
      <x:c r="D21" s="11" t="n">
        <x:v>2</x:v>
      </x:c>
      <x:c r="E21" s="11" t="n">
        <x:v>48084</x:v>
      </x:c>
      <x:c r="F21" s="11" t="n">
        <x:v>85741</x:v>
      </x:c>
      <x:c r="G21" s="11" t="n">
        <x:v>479900</x:v>
      </x:c>
      <x:c r="H21" s="11" t="n">
        <x:v>27414791</x:v>
      </x:c>
      <x:c r="I21" s="11" t="n">
        <x:f>E21+F21+G21</x:f>
        <x:v>613725</x:v>
      </x:c>
      <x:c r="J21" s="11" t="n">
        <x:f>I21+H21</x:f>
        <x:v>28028516</x:v>
      </x:c>
      <x:c r="K21" s="7" t="str">
        <x:v>claude-opus-4-8</x:v>
      </x:c>
    </x:row>
    <x:row r="22">
      <x:c r="A22" s="9" t="n">
        <x:v>46190</x:v>
      </x:c>
      <x:c r="B22" s="7" t="str">
        <x:v>/Users/wepie/PieBox/Projects/untitled-mp59d9zjkqf6/assets/ugc-modes/modeDaweidai</x:v>
      </x:c>
      <x:c r="C22" s="11" t="n">
        <x:v>8</x:v>
      </x:c>
      <x:c r="D22" s="11" t="n">
        <x:v>1</x:v>
      </x:c>
      <x:c r="E22" s="11" t="n">
        <x:v>335</x:v>
      </x:c>
      <x:c r="F22" s="11" t="n">
        <x:v>4119</x:v>
      </x:c>
      <x:c r="G22" s="11" t="n">
        <x:v>11031</x:v>
      </x:c>
      <x:c r="H22" s="11" t="n">
        <x:v>4222438</x:v>
      </x:c>
      <x:c r="I22" s="11" t="n">
        <x:f>E22+F22+G22</x:f>
        <x:v>15485</x:v>
      </x:c>
      <x:c r="J22" s="11" t="n">
        <x:f>I22+H22</x:f>
        <x:v>4237923</x:v>
      </x:c>
      <x:c r="K22" s="7" t="str">
        <x:v>claude-opus-4-8</x:v>
      </x:c>
    </x:row>
    <x:row r="23">
      <x:c r="A23" s="9" t="n">
        <x:v>46190</x:v>
      </x:c>
      <x:c r="B23" s="7" t="str">
        <x:v>/Users/wepie/Desktop/QA</x:v>
      </x:c>
      <x:c r="C23" s="11" t="n">
        <x:v>18</x:v>
      </x:c>
      <x:c r="D23" s="11" t="n">
        <x:v>1</x:v>
      </x:c>
      <x:c r="E23" s="11" t="n">
        <x:v>2685</x:v>
      </x:c>
      <x:c r="F23" s="11" t="n">
        <x:v>37590</x:v>
      </x:c>
      <x:c r="G23" s="11" t="n">
        <x:v>42438</x:v>
      </x:c>
      <x:c r="H23" s="11" t="n">
        <x:v>612141</x:v>
      </x:c>
      <x:c r="I23" s="11" t="n">
        <x:f>E23+F23+G23</x:f>
        <x:v>82713</x:v>
      </x:c>
      <x:c r="J23" s="11" t="n">
        <x:f>I23+H23</x:f>
        <x:v>694854</x:v>
      </x:c>
      <x:c r="K23" s="7" t="str">
        <x:v>claude-opus-4-8</x:v>
      </x:c>
    </x:row>
    <x:row r="24">
      <x:c r="A24" s="9" t="n">
        <x:v>46191</x:v>
      </x:c>
      <x:c r="B24" s="7" t="str">
        <x:v>/Users/wepie/PieBox/Projects/untitled-mp59d9zjkqf6</x:v>
      </x:c>
      <x:c r="C24" s="11" t="n">
        <x:v>113</x:v>
      </x:c>
      <x:c r="D24" s="11" t="n">
        <x:v>1</x:v>
      </x:c>
      <x:c r="E24" s="11" t="n">
        <x:v>62255</x:v>
      </x:c>
      <x:c r="F24" s="11" t="n">
        <x:v>152099</x:v>
      </x:c>
      <x:c r="G24" s="11" t="n">
        <x:v>1898547</x:v>
      </x:c>
      <x:c r="H24" s="11" t="n">
        <x:v>43388470</x:v>
      </x:c>
      <x:c r="I24" s="11" t="n">
        <x:f>E24+F24+G24</x:f>
        <x:v>2112901</x:v>
      </x:c>
      <x:c r="J24" s="11" t="n">
        <x:f>I24+H24</x:f>
        <x:v>45501371</x:v>
      </x:c>
      <x:c r="K24" s="7" t="str">
        <x:v>claude-opus-4-8</x:v>
      </x:c>
    </x:row>
    <x:row r="25">
      <x:c r="A25" s="9" t="n">
        <x:v>46191</x:v>
      </x:c>
      <x:c r="B25" s="7" t="str">
        <x:v>/Users/wepie/PieBox/Projects/untitled-mp59d9zjkqf6/assets/ugc-modes/modeDaweidai</x:v>
      </x:c>
      <x:c r="C25" s="11" t="n">
        <x:v>21</x:v>
      </x:c>
      <x:c r="D25" s="11" t="n">
        <x:v>1</x:v>
      </x:c>
      <x:c r="E25" s="11" t="n">
        <x:v>408</x:v>
      </x:c>
      <x:c r="F25" s="11" t="n">
        <x:v>27677</x:v>
      </x:c>
      <x:c r="G25" s="11" t="n">
        <x:v>47077</x:v>
      </x:c>
      <x:c r="H25" s="11" t="n">
        <x:v>15063820</x:v>
      </x:c>
      <x:c r="I25" s="11" t="n">
        <x:f>E25+F25+G25</x:f>
        <x:v>75162</x:v>
      </x:c>
      <x:c r="J25" s="11" t="n">
        <x:f>I25+H25</x:f>
        <x:v>15138982</x:v>
      </x:c>
      <x:c r="K25" s="7" t="str">
        <x:v>claude-opus-4-8</x:v>
      </x:c>
    </x:row>
    <x:row r="26">
      <x:c r="A26" s="9" t="n">
        <x:v>46191</x:v>
      </x:c>
      <x:c r="B26" s="7" t="str">
        <x:v>/Users/wepie/PieBox/Projects/untitled-mp59d9zjkqf6/tools</x:v>
      </x:c>
      <x:c r="C26" s="11" t="n">
        <x:v>80</x:v>
      </x:c>
      <x:c r="D26" s="11" t="n">
        <x:v>1</x:v>
      </x:c>
      <x:c r="E26" s="11" t="n">
        <x:v>10169</x:v>
      </x:c>
      <x:c r="F26" s="11" t="n">
        <x:v>83347</x:v>
      </x:c>
      <x:c r="G26" s="11" t="n">
        <x:v>147697</x:v>
      </x:c>
      <x:c r="H26" s="11" t="n">
        <x:v>14486839</x:v>
      </x:c>
      <x:c r="I26" s="11" t="n">
        <x:f>E26+F26+G26</x:f>
        <x:v>241213</x:v>
      </x:c>
      <x:c r="J26" s="11" t="n">
        <x:f>I26+H26</x:f>
        <x:v>14728052</x:v>
      </x:c>
      <x:c r="K26" s="7" t="str">
        <x:v>claude-opus-4-8</x:v>
      </x:c>
    </x:row>
    <x:row r="27">
      <x:c r="A27" s="9" t="n">
        <x:v>46191</x:v>
      </x:c>
      <x:c r="B27" s="7" t="str">
        <x:v>/Users/wepie/PieBox/Projects/untitled-mp59d9zjkqf6/assets/ugc-modes/modeDaweidai/config</x:v>
      </x:c>
      <x:c r="C27" s="11" t="n">
        <x:v>1</x:v>
      </x:c>
      <x:c r="D27" s="11" t="n">
        <x:v>1</x:v>
      </x:c>
      <x:c r="E27" s="11" t="n">
        <x:v>2</x:v>
      </x:c>
      <x:c r="F27" s="11" t="n">
        <x:v>1001</x:v>
      </x:c>
      <x:c r="G27" s="11" t="n">
        <x:v>8524</x:v>
      </x:c>
      <x:c r="H27" s="11" t="n">
        <x:v>713633</x:v>
      </x:c>
      <x:c r="I27" s="11" t="n">
        <x:f>E27+F27+G27</x:f>
        <x:v>9527</x:v>
      </x:c>
      <x:c r="J27" s="11" t="n">
        <x:f>I27+H27</x:f>
        <x:v>723160</x:v>
      </x:c>
      <x:c r="K27" s="7" t="str">
        <x:v>claude-opus-4-8</x:v>
      </x:c>
    </x:row>
    <x:row r="28">
      <x:c r="A28" s="9" t="n">
        <x:v>46195</x:v>
      </x:c>
      <x:c r="B28" s="7" t="str">
        <x:v>/Users/wepie/PieBox/Projects/untitled-mp59d9zjkqf6</x:v>
      </x:c>
      <x:c r="C28" s="11" t="n">
        <x:v>266</x:v>
      </x:c>
      <x:c r="D28" s="11" t="n">
        <x:v>2</x:v>
      </x:c>
      <x:c r="E28" s="11" t="n">
        <x:v>112129</x:v>
      </x:c>
      <x:c r="F28" s="11" t="n">
        <x:v>302042</x:v>
      </x:c>
      <x:c r="G28" s="11" t="n">
        <x:v>1859745</x:v>
      </x:c>
      <x:c r="H28" s="11" t="n">
        <x:v>64376442</x:v>
      </x:c>
      <x:c r="I28" s="11" t="n">
        <x:f>E28+F28+G28</x:f>
        <x:v>2273916</x:v>
      </x:c>
      <x:c r="J28" s="11" t="n">
        <x:f>I28+H28</x:f>
        <x:v>66650358</x:v>
      </x:c>
      <x:c r="K28" s="7" t="str">
        <x:v>claude-opus-4-8</x:v>
      </x:c>
    </x:row>
    <x:row r="29">
      <x:c r="A29" s="9" t="n">
        <x:v>46195</x:v>
      </x:c>
      <x:c r="B29" s="7" t="str">
        <x:v>/Users/wepie/PieBox/Projects/untitled-mp59d9zjkqf6/assets/ugc-modes/modeGroupSnake</x:v>
      </x:c>
      <x:c r="C29" s="11" t="n">
        <x:v>25</x:v>
      </x:c>
      <x:c r="D29" s="11" t="n">
        <x:v>1</x:v>
      </x:c>
      <x:c r="E29" s="11" t="n">
        <x:v>748</x:v>
      </x:c>
      <x:c r="F29" s="11" t="n">
        <x:v>35848</x:v>
      </x:c>
      <x:c r="G29" s="11" t="n">
        <x:v>67185</x:v>
      </x:c>
      <x:c r="H29" s="11" t="n">
        <x:v>5456168</x:v>
      </x:c>
      <x:c r="I29" s="11" t="n">
        <x:f>E29+F29+G29</x:f>
        <x:v>103781</x:v>
      </x:c>
      <x:c r="J29" s="11" t="n">
        <x:f>I29+H29</x:f>
        <x:v>5559949</x:v>
      </x:c>
      <x:c r="K29" s="7" t="str">
        <x:v>claude-opus-4-8</x:v>
      </x:c>
    </x:row>
    <x:row r="30">
      <x:c r="A30" s="9" t="n">
        <x:v>46195</x:v>
      </x:c>
      <x:c r="B30" s="7" t="str">
        <x:v>/Users/wepie/PieBox/Projects/untitled-mp59d9zjkqf6/assets/ugc-modes</x:v>
      </x:c>
      <x:c r="C30" s="11" t="n">
        <x:v>11</x:v>
      </x:c>
      <x:c r="D30" s="11" t="n">
        <x:v>1</x:v>
      </x:c>
      <x:c r="E30" s="11" t="n">
        <x:v>144</x:v>
      </x:c>
      <x:c r="F30" s="11" t="n">
        <x:v>26427</x:v>
      </x:c>
      <x:c r="G30" s="11" t="n">
        <x:v>376089</x:v>
      </x:c>
      <x:c r="H30" s="11" t="n">
        <x:v>3279849</x:v>
      </x:c>
      <x:c r="I30" s="11" t="n">
        <x:f>E30+F30+G30</x:f>
        <x:v>402660</x:v>
      </x:c>
      <x:c r="J30" s="11" t="n">
        <x:f>I30+H30</x:f>
        <x:v>3682509</x:v>
      </x:c>
      <x:c r="K30" s="7" t="str">
        <x:v>claude-opus-4-8</x:v>
      </x:c>
    </x:row>
    <x:row r="31">
      <x:c r="A31" s="9" t="n">
        <x:v>46195</x:v>
      </x:c>
      <x:c r="B31" s="7" t="str">
        <x:v>/Users/wepie/PieBox/Projects/untitled-mp59d9zjkqf6/assets</x:v>
      </x:c>
      <x:c r="C31" s="11" t="n">
        <x:v>1</x:v>
      </x:c>
      <x:c r="D31" s="11" t="n">
        <x:v>1</x:v>
      </x:c>
      <x:c r="E31" s="11" t="n">
        <x:v>2</x:v>
      </x:c>
      <x:c r="F31" s="11" t="n">
        <x:v>4218</x:v>
      </x:c>
      <x:c r="G31" s="11" t="n">
        <x:v>2212</x:v>
      </x:c>
      <x:c r="H31" s="11" t="n">
        <x:v>339179</x:v>
      </x:c>
      <x:c r="I31" s="11" t="n">
        <x:f>E31+F31+G31</x:f>
        <x:v>6432</x:v>
      </x:c>
      <x:c r="J31" s="11" t="n">
        <x:f>I31+H31</x:f>
        <x:v>345611</x:v>
      </x:c>
      <x:c r="K31" s="7" t="str">
        <x:v>claude-opus-4-8</x:v>
      </x:c>
    </x:row>
    <x:row r="32">
      <x:c r="A32" s="9" t="n">
        <x:v>46196</x:v>
      </x:c>
      <x:c r="B32" s="7" t="str">
        <x:v>/Users/wepie/PieBox/Projects/untitled-mp59d9zjkqf6</x:v>
      </x:c>
      <x:c r="C32" s="11" t="n">
        <x:v>376</x:v>
      </x:c>
      <x:c r="D32" s="11" t="n">
        <x:v>6</x:v>
      </x:c>
      <x:c r="E32" s="11" t="n">
        <x:v>129179</x:v>
      </x:c>
      <x:c r="F32" s="11" t="n">
        <x:v>441015</x:v>
      </x:c>
      <x:c r="G32" s="11" t="n">
        <x:v>5359758</x:v>
      </x:c>
      <x:c r="H32" s="11" t="n">
        <x:v>109964448</x:v>
      </x:c>
      <x:c r="I32" s="11" t="n">
        <x:f>E32+F32+G32</x:f>
        <x:v>5929952</x:v>
      </x:c>
      <x:c r="J32" s="11" t="n">
        <x:f>I32+H32</x:f>
        <x:v>115894400</x:v>
      </x:c>
      <x:c r="K32" s="7" t="str">
        <x:v>claude-opus-4-8</x:v>
      </x:c>
    </x:row>
    <x:row r="33">
      <x:c r="A33" s="9" t="n">
        <x:v>46196</x:v>
      </x:c>
      <x:c r="B33" s="7" t="str">
        <x:v>/Users/wepie/PieBox/Projects/untitled-mp59d9zjkqf6/assets/ugc-modes/modeGroupSnake</x:v>
      </x:c>
      <x:c r="C33" s="11" t="n">
        <x:v>67</x:v>
      </x:c>
      <x:c r="D33" s="11" t="n">
        <x:v>1</x:v>
      </x:c>
      <x:c r="E33" s="11" t="n">
        <x:v>1720</x:v>
      </x:c>
      <x:c r="F33" s="11" t="n">
        <x:v>59615</x:v>
      </x:c>
      <x:c r="G33" s="11" t="n">
        <x:v>113395</x:v>
      </x:c>
      <x:c r="H33" s="11" t="n">
        <x:v>25595064</x:v>
      </x:c>
      <x:c r="I33" s="11" t="n">
        <x:f>E33+F33+G33</x:f>
        <x:v>174730</x:v>
      </x:c>
      <x:c r="J33" s="11" t="n">
        <x:f>I33+H33</x:f>
        <x:v>25769794</x:v>
      </x:c>
      <x:c r="K33" s="7" t="str">
        <x:v>claude-opus-4-8</x:v>
      </x:c>
    </x:row>
    <x:row r="34">
      <x:c r="A34" s="9" t="n">
        <x:v>46196</x:v>
      </x:c>
      <x:c r="B34" s="7" t="str">
        <x:v>/Users/wepie/PieBox/Projects/untitled-mp59d9zjkqf6/assets/ugc-modes/modeGroupSnake/res</x:v>
      </x:c>
      <x:c r="C34" s="11" t="n">
        <x:v>26</x:v>
      </x:c>
      <x:c r="D34" s="11" t="n">
        <x:v>1</x:v>
      </x:c>
      <x:c r="E34" s="11" t="n">
        <x:v>1079</x:v>
      </x:c>
      <x:c r="F34" s="11" t="n">
        <x:v>25986</x:v>
      </x:c>
      <x:c r="G34" s="11" t="n">
        <x:v>135439</x:v>
      </x:c>
      <x:c r="H34" s="11" t="n">
        <x:v>2409234</x:v>
      </x:c>
      <x:c r="I34" s="11" t="n">
        <x:f>E34+F34+G34</x:f>
        <x:v>162504</x:v>
      </x:c>
      <x:c r="J34" s="11" t="n">
        <x:f>I34+H34</x:f>
        <x:v>2571738</x:v>
      </x:c>
      <x:c r="K34" s="7" t="str">
        <x:v>claude-opus-4-8</x:v>
      </x:c>
    </x:row>
    <x:row r="35">
      <x:c r="A35" s="9" t="n">
        <x:v>46196</x:v>
      </x:c>
      <x:c r="B35" s="7" t="str">
        <x:v>/Users/wepie/PieBox/Projects/untitled-mp59d9zjkqf6/assets/ugc-modes/modeGroupSnake/res/effect</x:v>
      </x:c>
      <x:c r="C35" s="11" t="n">
        <x:v>2</x:v>
      </x:c>
      <x:c r="D35" s="11" t="n">
        <x:v>1</x:v>
      </x:c>
      <x:c r="E35" s="11" t="n">
        <x:v>126</x:v>
      </x:c>
      <x:c r="F35" s="11" t="n">
        <x:v>3823</x:v>
      </x:c>
      <x:c r="G35" s="11" t="n">
        <x:v>16994</x:v>
      </x:c>
      <x:c r="H35" s="11" t="n">
        <x:v>684434</x:v>
      </x:c>
      <x:c r="I35" s="11" t="n">
        <x:f>E35+F35+G35</x:f>
        <x:v>20943</x:v>
      </x:c>
      <x:c r="J35" s="11" t="n">
        <x:f>I35+H35</x:f>
        <x:v>705377</x:v>
      </x:c>
      <x:c r="K35" s="7" t="str">
        <x:v>claude-opus-4-8</x:v>
      </x:c>
    </x:row>
    <x:row r="36">
      <x:c r="A36" s="9" t="n">
        <x:v>46196</x:v>
      </x:c>
      <x:c r="B36" s="7" t="str">
        <x:v>/Users/wepie/workspace/snake-minigame</x:v>
      </x:c>
      <x:c r="C36" s="11" t="n">
        <x:v>2</x:v>
      </x:c>
      <x:c r="D36" s="11" t="n">
        <x:v>1</x:v>
      </x:c>
      <x:c r="E36" s="11" t="n">
        <x:v>7092</x:v>
      </x:c>
      <x:c r="F36" s="11" t="n">
        <x:v>1851</x:v>
      </x:c>
      <x:c r="G36" s="11" t="n">
        <x:v>14679</x:v>
      </x:c>
      <x:c r="H36" s="11" t="n">
        <x:v>42233</x:v>
      </x:c>
      <x:c r="I36" s="11" t="n">
        <x:f>E36+F36+G36</x:f>
        <x:v>23622</x:v>
      </x:c>
      <x:c r="J36" s="11" t="n">
        <x:f>I36+H36</x:f>
        <x:v>65855</x:v>
      </x:c>
      <x:c r="K36" s="7" t="str">
        <x:v>claude-opus-4-8</x:v>
      </x:c>
    </x:row>
    <x:row r="37">
      <x:c r="A37" s="9" t="n">
        <x:v>46197</x:v>
      </x:c>
      <x:c r="B37" s="7" t="str">
        <x:v>/Users/wepie/PieBox/Projects/untitled-mp59d9zjkqf6</x:v>
      </x:c>
      <x:c r="C37" s="11" t="n">
        <x:v>131</x:v>
      </x:c>
      <x:c r="D37" s="11" t="n">
        <x:v>3</x:v>
      </x:c>
      <x:c r="E37" s="11" t="n">
        <x:v>23084</x:v>
      </x:c>
      <x:c r="F37" s="11" t="n">
        <x:v>219215</x:v>
      </x:c>
      <x:c r="G37" s="11" t="n">
        <x:v>841067</x:v>
      </x:c>
      <x:c r="H37" s="11" t="n">
        <x:v>17734634</x:v>
      </x:c>
      <x:c r="I37" s="11" t="n">
        <x:f>E37+F37+G37</x:f>
        <x:v>1083366</x:v>
      </x:c>
      <x:c r="J37" s="11" t="n">
        <x:f>I37+H37</x:f>
        <x:v>18818000</x:v>
      </x:c>
      <x:c r="K37" s="7" t="str">
        <x:v>claude-opus-4-8</x:v>
      </x:c>
    </x:row>
    <x:row r="38">
      <x:c r="A38" s="9" t="n">
        <x:v>46197</x:v>
      </x:c>
      <x:c r="B38" s="7" t="str">
        <x:v>/Users/wepie/PieBox/files</x:v>
      </x:c>
      <x:c r="C38" s="11" t="n">
        <x:v>152</x:v>
      </x:c>
      <x:c r="D38" s="11" t="n">
        <x:v>4</x:v>
      </x:c>
      <x:c r="E38" s="11" t="n">
        <x:v>9096</x:v>
      </x:c>
      <x:c r="F38" s="11" t="n">
        <x:v>184549</x:v>
      </x:c>
      <x:c r="G38" s="11" t="n">
        <x:v>1296841</x:v>
      </x:c>
      <x:c r="H38" s="11" t="n">
        <x:v>12788744</x:v>
      </x:c>
      <x:c r="I38" s="11" t="n">
        <x:f>E38+F38+G38</x:f>
        <x:v>1490486</x:v>
      </x:c>
      <x:c r="J38" s="11" t="n">
        <x:f>I38+H38</x:f>
        <x:v>14279230</x:v>
      </x:c>
      <x:c r="K38" s="7" t="str">
        <x:v>claude-opus-4-8</x:v>
      </x:c>
    </x:row>
    <x:row r="39">
      <x:c r="A39" s="9" t="n">
        <x:v>46197</x:v>
      </x:c>
      <x:c r="B39" s="7" t="str">
        <x:v>/Users/wepie/PieBox/files/Gaming</x:v>
      </x:c>
      <x:c r="C39" s="11" t="n">
        <x:v>49</x:v>
      </x:c>
      <x:c r="D39" s="11" t="n">
        <x:v>1</x:v>
      </x:c>
      <x:c r="E39" s="11" t="n">
        <x:v>10180</x:v>
      </x:c>
      <x:c r="F39" s="11" t="n">
        <x:v>114637</x:v>
      </x:c>
      <x:c r="G39" s="11" t="n">
        <x:v>165726</x:v>
      </x:c>
      <x:c r="H39" s="11" t="n">
        <x:v>7377689</x:v>
      </x:c>
      <x:c r="I39" s="11" t="n">
        <x:f>E39+F39+G39</x:f>
        <x:v>290543</x:v>
      </x:c>
      <x:c r="J39" s="11" t="n">
        <x:f>I39+H39</x:f>
        <x:v>7668232</x:v>
      </x:c>
      <x:c r="K39" s="7" t="str">
        <x:v>claude-opus-4-8</x:v>
      </x:c>
    </x:row>
    <x:row r="40">
      <x:c r="A40" s="9" t="n">
        <x:v>46197</x:v>
      </x:c>
      <x:c r="B40" s="7" t="str">
        <x:v>/Users/wepie/workspace/snake-minigame</x:v>
      </x:c>
      <x:c r="C40" s="11" t="n">
        <x:v>3</x:v>
      </x:c>
      <x:c r="D40" s="11" t="n">
        <x:v>1</x:v>
      </x:c>
      <x:c r="E40" s="11" t="n">
        <x:v>7094</x:v>
      </x:c>
      <x:c r="F40" s="11" t="n">
        <x:v>2392</x:v>
      </x:c>
      <x:c r="G40" s="11" t="n">
        <x:v>15597</x:v>
      </x:c>
      <x:c r="H40" s="11" t="n">
        <x:v>74950</x:v>
      </x:c>
      <x:c r="I40" s="11" t="n">
        <x:f>E40+F40+G40</x:f>
        <x:v>25083</x:v>
      </x:c>
      <x:c r="J40" s="11" t="n">
        <x:f>I40+H40</x:f>
        <x:v>100033</x:v>
      </x:c>
      <x:c r="K40" s="7" t="str">
        <x:v>claude-opus-4-8</x:v>
      </x:c>
    </x:row>
    <x:row r="41">
      <x:c r="A41" s="9" t="n">
        <x:v>46198</x:v>
      </x:c>
      <x:c r="B41" s="7" t="str">
        <x:v>/Users/wepie/PieBox/Projects/untitled-mp59d9zjkqf6</x:v>
      </x:c>
      <x:c r="C41" s="11" t="n">
        <x:v>181</x:v>
      </x:c>
      <x:c r="D41" s="11" t="n">
        <x:v>4</x:v>
      </x:c>
      <x:c r="E41" s="11" t="n">
        <x:v>92685</x:v>
      </x:c>
      <x:c r="F41" s="11" t="n">
        <x:v>286303</x:v>
      </x:c>
      <x:c r="G41" s="11" t="n">
        <x:v>3383713</x:v>
      </x:c>
      <x:c r="H41" s="11" t="n">
        <x:v>32199798</x:v>
      </x:c>
      <x:c r="I41" s="11" t="n">
        <x:f>E41+F41+G41</x:f>
        <x:v>3762701</x:v>
      </x:c>
      <x:c r="J41" s="11" t="n">
        <x:f>I41+H41</x:f>
        <x:v>35962499</x:v>
      </x:c>
      <x:c r="K41" s="7" t="str">
        <x:v>claude-opus-4-8</x:v>
      </x:c>
    </x:row>
    <x:row r="42">
      <x:c r="A42" s="9" t="n">
        <x:v>46198</x:v>
      </x:c>
      <x:c r="B42" s="7" t="str">
        <x:v>/Users/wepie/PieBox/Projects/untitled-mp59d9zjkqf6/tools</x:v>
      </x:c>
      <x:c r="C42" s="11" t="n">
        <x:v>8</x:v>
      </x:c>
      <x:c r="D42" s="11" t="n">
        <x:v>1</x:v>
      </x:c>
      <x:c r="E42" s="11" t="n">
        <x:v>16</x:v>
      </x:c>
      <x:c r="F42" s="11" t="n">
        <x:v>24710</x:v>
      </x:c>
      <x:c r="G42" s="11" t="n">
        <x:v>49274</x:v>
      </x:c>
      <x:c r="H42" s="11" t="n">
        <x:v>4044272</x:v>
      </x:c>
      <x:c r="I42" s="11" t="n">
        <x:f>E42+F42+G42</x:f>
        <x:v>74000</x:v>
      </x:c>
      <x:c r="J42" s="11" t="n">
        <x:f>I42+H42</x:f>
        <x:v>4118272</x:v>
      </x:c>
      <x:c r="K42" s="7" t="str">
        <x:v>claude-opus-4-8</x:v>
      </x:c>
    </x:row>
    <x:row r="43">
      <x:c r="A43" s="9" t="n">
        <x:v>46199</x:v>
      </x:c>
      <x:c r="B43" s="7" t="str">
        <x:v>/Users/wepie/PieBox/Projects/untitled-mp59d9zjkqf6</x:v>
      </x:c>
      <x:c r="C43" s="11" t="n">
        <x:v>165</x:v>
      </x:c>
      <x:c r="D43" s="11" t="n">
        <x:v>3</x:v>
      </x:c>
      <x:c r="E43" s="11" t="n">
        <x:v>10338</x:v>
      </x:c>
      <x:c r="F43" s="11" t="n">
        <x:v>94808</x:v>
      </x:c>
      <x:c r="G43" s="11" t="n">
        <x:v>1193478</x:v>
      </x:c>
      <x:c r="H43" s="11" t="n">
        <x:v>12500787</x:v>
      </x:c>
      <x:c r="I43" s="11" t="n">
        <x:f>E43+F43+G43</x:f>
        <x:v>1298624</x:v>
      </x:c>
      <x:c r="J43" s="11" t="n">
        <x:f>I43+H43</x:f>
        <x:v>13799411</x:v>
      </x:c>
      <x:c r="K43" s="7" t="str">
        <x:v>claude-opus-4-8</x:v>
      </x:c>
    </x:row>
    <x:row r="44">
      <x:c r="A44" s="9" t="n">
        <x:v>46199</x:v>
      </x:c>
      <x:c r="B44" s="7" t="str">
        <x:v>/Users/wepie/My project</x:v>
      </x:c>
      <x:c r="C44" s="11" t="n">
        <x:v>25</x:v>
      </x:c>
      <x:c r="D44" s="11" t="n">
        <x:v>1</x:v>
      </x:c>
      <x:c r="E44" s="11" t="n">
        <x:v>35</x:v>
      </x:c>
      <x:c r="F44" s="11" t="n">
        <x:v>33961</x:v>
      </x:c>
      <x:c r="G44" s="11" t="n">
        <x:v>48593</x:v>
      </x:c>
      <x:c r="H44" s="11" t="n">
        <x:v>994779</x:v>
      </x:c>
      <x:c r="I44" s="11" t="n">
        <x:f>E44+F44+G44</x:f>
        <x:v>82589</x:v>
      </x:c>
      <x:c r="J44" s="11" t="n">
        <x:f>I44+H44</x:f>
        <x:v>1077368</x:v>
      </x:c>
      <x:c r="K44" s="7" t="str">
        <x:v>claude-sonnet-4-6</x:v>
      </x:c>
    </x:row>
    <x:row r="45">
      <x:c r="A45" s="9" t="n">
        <x:v>46202</x:v>
      </x:c>
      <x:c r="B45" s="7" t="str">
        <x:v>/Users/wepie/PieBox/Projects/untitled-mp59d9zjkqf6</x:v>
      </x:c>
      <x:c r="C45" s="11" t="n">
        <x:v>125</x:v>
      </x:c>
      <x:c r="D45" s="11" t="n">
        <x:v>8</x:v>
      </x:c>
      <x:c r="E45" s="11" t="n">
        <x:v>53843</x:v>
      </x:c>
      <x:c r="F45" s="11" t="n">
        <x:v>213238</x:v>
      </x:c>
      <x:c r="G45" s="11" t="n">
        <x:v>4211692</x:v>
      </x:c>
      <x:c r="H45" s="11" t="n">
        <x:v>42656114</x:v>
      </x:c>
      <x:c r="I45" s="11" t="n">
        <x:f>E45+F45+G45</x:f>
        <x:v>4478773</x:v>
      </x:c>
      <x:c r="J45" s="11" t="n">
        <x:f>I45+H45</x:f>
        <x:v>47134887</x:v>
      </x:c>
      <x:c r="K45" s="7" t="str">
        <x:v>claude-opus-4-8</x:v>
      </x:c>
    </x:row>
    <x:row r="46">
      <x:c r="A46" s="9" t="n">
        <x:v>46203</x:v>
      </x:c>
      <x:c r="B46" s="7" t="str">
        <x:v>/Users/wepie/PieBox/Projects/untitled-mp59d9zjkqf6</x:v>
      </x:c>
      <x:c r="C46" s="11" t="n">
        <x:v>19</x:v>
      </x:c>
      <x:c r="D46" s="11" t="n">
        <x:v>1</x:v>
      </x:c>
      <x:c r="E46" s="11" t="n">
        <x:v>14272</x:v>
      </x:c>
      <x:c r="F46" s="11" t="n">
        <x:v>19891</x:v>
      </x:c>
      <x:c r="G46" s="11" t="n">
        <x:v>828765</x:v>
      </x:c>
      <x:c r="H46" s="11" t="n">
        <x:v>1724378</x:v>
      </x:c>
      <x:c r="I46" s="11" t="n">
        <x:f>E46+F46+G46</x:f>
        <x:v>862928</x:v>
      </x:c>
      <x:c r="J46" s="11" t="n">
        <x:f>I46+H46</x:f>
        <x:v>2587306</x:v>
      </x:c>
      <x:c r="K46" s="7" t="str">
        <x:v>claude-opus-4-8</x:v>
      </x:c>
    </x:row>
    <x:row r="47">
      <x:c r="A47" s="9" t="n">
        <x:v>46204</x:v>
      </x:c>
      <x:c r="B47" s="7" t="str">
        <x:v>/Users/wepie/PieBox/Projects/untitled-mp59d9zjkqf6</x:v>
      </x:c>
      <x:c r="C47" s="11" t="n">
        <x:v>501</x:v>
      </x:c>
      <x:c r="D47" s="11" t="n">
        <x:v>1</x:v>
      </x:c>
      <x:c r="E47" s="11" t="n">
        <x:v>47836</x:v>
      </x:c>
      <x:c r="F47" s="11" t="n">
        <x:v>288678</x:v>
      </x:c>
      <x:c r="G47" s="11" t="n">
        <x:v>2486010</x:v>
      </x:c>
      <x:c r="H47" s="11" t="n">
        <x:v>24916854</x:v>
      </x:c>
      <x:c r="I47" s="11" t="n">
        <x:f>E47+F47+G47</x:f>
        <x:v>2822524</x:v>
      </x:c>
      <x:c r="J47" s="11" t="n">
        <x:f>I47+H47</x:f>
        <x:v>27739378</x:v>
      </x:c>
      <x:c r="K47" s="7" t="str">
        <x:v>claude-sonnet-4-6</x:v>
      </x:c>
    </x:row>
    <x:row r="48">
      <x:c r="A48" s="9" t="n">
        <x:v>46204</x:v>
      </x:c>
      <x:c r="B48" s="7" t="str">
        <x:v>/Users/wepie/PieBox/Projects/untitled-mp59d9zjkqf6/assets/ugc-modes/modeGroupSnake</x:v>
      </x:c>
      <x:c r="C48" s="11" t="n">
        <x:v>8</x:v>
      </x:c>
      <x:c r="D48" s="11" t="n">
        <x:v>1</x:v>
      </x:c>
      <x:c r="E48" s="11" t="n">
        <x:v>138</x:v>
      </x:c>
      <x:c r="F48" s="11" t="n">
        <x:v>23877</x:v>
      </x:c>
      <x:c r="G48" s="11" t="n">
        <x:v>29682</x:v>
      </x:c>
      <x:c r="H48" s="11" t="n">
        <x:v>1235443</x:v>
      </x:c>
      <x:c r="I48" s="11" t="n">
        <x:f>E48+F48+G48</x:f>
        <x:v>53697</x:v>
      </x:c>
      <x:c r="J48" s="11" t="n">
        <x:f>I48+H48</x:f>
        <x:v>1289140</x:v>
      </x:c>
      <x:c r="K48" s="7" t="str">
        <x:v>claude-opus-4-8</x:v>
      </x:c>
    </x:row>
    <x:row r="49">
      <x:c r="A49" s="10" t="n">
        <x:v>46204</x:v>
      </x:c>
      <x:c r="B49" s="8" t="str">
        <x:v>/Users/wepie/PieBox/Projects/untitled-mp59d9zjkqf6/assets/loading/script/webgl</x:v>
      </x:c>
      <x:c r="C49" s="12" t="n">
        <x:v>1</x:v>
      </x:c>
      <x:c r="D49" s="12" t="n">
        <x:v>1</x:v>
      </x:c>
      <x:c r="E49" s="12" t="n">
        <x:v>2</x:v>
      </x:c>
      <x:c r="F49" s="12" t="n">
        <x:v>1041</x:v>
      </x:c>
      <x:c r="G49" s="12" t="n">
        <x:v>1879</x:v>
      </x:c>
      <x:c r="H49" s="12" t="n">
        <x:v>165943</x:v>
      </x:c>
      <x:c r="I49" s="12" t="n">
        <x:f>E49+F49+G49</x:f>
        <x:v>2922</x:v>
      </x:c>
      <x:c r="J49" s="12" t="n">
        <x:f>I49+H49</x:f>
        <x:v>168865</x:v>
      </x:c>
      <x:c r="K49" s="8" t="str">
        <x:v>claude-opus-4-8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5" t="str">
        <x:v>Daily Tokens by Project (Including Cache Read)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3">
      <x:c r="A3" s="19" t="str">
        <x:v>Date</x:v>
      </x:c>
      <x:c r="B3" s="20" t="str">
        <x:v>/Users/wepie/PieBox/Projects/untitled-mp59d9zjkqf6</x:v>
      </x:c>
      <x:c r="C3" s="20" t="str">
        <x:v>/Users/wepie/PieBox/Projects/untitled-mp59d9zjkqf6/assets/ugc-modes/modeGroupSnake</x:v>
      </x:c>
      <x:c r="D3" s="20" t="str">
        <x:v>/Users/wepie/PieBox/Projects/untitled-mp59d9zjkqf6/assets/ugc-modes/modeDaweidai</x:v>
      </x:c>
      <x:c r="E3" s="20" t="str">
        <x:v>/Users/wepie/PieBox/Projects/untitled-mp59d9zjkqf6/tools</x:v>
      </x:c>
      <x:c r="F3" s="20" t="str">
        <x:v>/Users/wepie/PieBox/files</x:v>
      </x:c>
      <x:c r="G3" s="20" t="str">
        <x:v>/Users/wepie/PieBox/files/Gaming</x:v>
      </x:c>
      <x:c r="H3" s="20" t="str">
        <x:v>/Users/wepie/PieBox/Projects/untitled-mp59d9zjkqf6/assets/ugc-modes</x:v>
      </x:c>
      <x:c r="I3" s="20" t="str">
        <x:v>/Users/wepie/PieBox/Projects/untitled-mp59d9zjkqf6/assets/ugc-modes/modeGroupSnake/res</x:v>
      </x:c>
      <x:c r="J3" s="20" t="str">
        <x:v>/Users/wepie/My project</x:v>
      </x:c>
      <x:c r="K3" s="20" t="str">
        <x:v>/Users/wepie/PieBox/Projects/untitled-mp59d9zjkqf6/assets/ugc-modes/modeDaweidai/config</x:v>
      </x:c>
      <x:c r="L3" s="20" t="str">
        <x:v>/Users/wepie/PieBox/Projects/untitled-mp59d9zjkqf6/assets/ugc-modes/modeGroupSnake/res/effect</x:v>
      </x:c>
      <x:c r="M3" s="20" t="str">
        <x:v>/Users/wepie/Desktop/QA</x:v>
      </x:c>
      <x:c r="N3" s="20" t="str">
        <x:v>/Users/wepie/workspace/snake-minigame</x:v>
      </x:c>
      <x:c r="O3" s="20" t="str">
        <x:v>/Users/wepie/PieBox/Projects/untitled-mp59d9zjkqf6/assets</x:v>
      </x:c>
      <x:c r="P3" s="20" t="str">
        <x:v>/Users/wepie/PieBox/Projects/untitled-mp59d9zjkqf6/assets/loading/script/webgl</x:v>
      </x:c>
      <x:c r="Q3" s="21" t="str">
        <x:v>/Users/wepie/shaderTest</x:v>
      </x:c>
    </x:row>
    <x:row r="4">
      <x:c r="A4" s="22" t="n">
        <x:v>46175</x:v>
      </x:c>
      <x:c r="B4" s="23" t="n">
        <x:f>SUMIFS('Project Date Detail'!$J$2:$J$49,'Project Date Detail'!$A$2:$A$49,$A4,'Project Date Detail'!$B$2:$B$49,B$3)</x:f>
        <x:v>790923</x:v>
      </x:c>
      <x:c r="C4" s="23" t="n">
        <x:f>SUMIFS('Project Date Detail'!$J$2:$J$49,'Project Date Detail'!$A$2:$A$49,$A4,'Project Date Detail'!$B$2:$B$49,C$3)</x:f>
        <x:v>0</x:v>
      </x:c>
      <x:c r="D4" s="23" t="n">
        <x:f>SUMIFS('Project Date Detail'!$J$2:$J$49,'Project Date Detail'!$A$2:$A$49,$A4,'Project Date Detail'!$B$2:$B$49,D$3)</x:f>
        <x:v>0</x:v>
      </x:c>
      <x:c r="E4" s="23" t="n">
        <x:f>SUMIFS('Project Date Detail'!$J$2:$J$49,'Project Date Detail'!$A$2:$A$49,$A4,'Project Date Detail'!$B$2:$B$49,E$3)</x:f>
        <x:v>0</x:v>
      </x:c>
      <x:c r="F4" s="23" t="n">
        <x:f>SUMIFS('Project Date Detail'!$J$2:$J$49,'Project Date Detail'!$A$2:$A$49,$A4,'Project Date Detail'!$B$2:$B$49,F$3)</x:f>
        <x:v>0</x:v>
      </x:c>
      <x:c r="G4" s="23" t="n">
        <x:f>SUMIFS('Project Date Detail'!$J$2:$J$49,'Project Date Detail'!$A$2:$A$49,$A4,'Project Date Detail'!$B$2:$B$49,G$3)</x:f>
        <x:v>0</x:v>
      </x:c>
      <x:c r="H4" s="23" t="n">
        <x:f>SUMIFS('Project Date Detail'!$J$2:$J$49,'Project Date Detail'!$A$2:$A$49,$A4,'Project Date Detail'!$B$2:$B$49,H$3)</x:f>
        <x:v>0</x:v>
      </x:c>
      <x:c r="I4" s="23" t="n">
        <x:f>SUMIFS('Project Date Detail'!$J$2:$J$49,'Project Date Detail'!$A$2:$A$49,$A4,'Project Date Detail'!$B$2:$B$49,I$3)</x:f>
        <x:v>0</x:v>
      </x:c>
      <x:c r="J4" s="23" t="n">
        <x:f>SUMIFS('Project Date Detail'!$J$2:$J$49,'Project Date Detail'!$A$2:$A$49,$A4,'Project Date Detail'!$B$2:$B$49,J$3)</x:f>
        <x:v>0</x:v>
      </x:c>
      <x:c r="K4" s="23" t="n">
        <x:f>SUMIFS('Project Date Detail'!$J$2:$J$49,'Project Date Detail'!$A$2:$A$49,$A4,'Project Date Detail'!$B$2:$B$49,K$3)</x:f>
        <x:v>0</x:v>
      </x:c>
      <x:c r="L4" s="23" t="n">
        <x:f>SUMIFS('Project Date Detail'!$J$2:$J$49,'Project Date Detail'!$A$2:$A$49,$A4,'Project Date Detail'!$B$2:$B$49,L$3)</x:f>
        <x:v>0</x:v>
      </x:c>
      <x:c r="M4" s="23" t="n">
        <x:f>SUMIFS('Project Date Detail'!$J$2:$J$49,'Project Date Detail'!$A$2:$A$49,$A4,'Project Date Detail'!$B$2:$B$49,M$3)</x:f>
        <x:v>0</x:v>
      </x:c>
      <x:c r="N4" s="23" t="n">
        <x:f>SUMIFS('Project Date Detail'!$J$2:$J$49,'Project Date Detail'!$A$2:$A$49,$A4,'Project Date Detail'!$B$2:$B$49,N$3)</x:f>
        <x:v>0</x:v>
      </x:c>
      <x:c r="O4" s="23" t="n">
        <x:f>SUMIFS('Project Date Detail'!$J$2:$J$49,'Project Date Detail'!$A$2:$A$49,$A4,'Project Date Detail'!$B$2:$B$49,O$3)</x:f>
        <x:v>0</x:v>
      </x:c>
      <x:c r="P4" s="23" t="n">
        <x:f>SUMIFS('Project Date Detail'!$J$2:$J$49,'Project Date Detail'!$A$2:$A$49,$A4,'Project Date Detail'!$B$2:$B$49,P$3)</x:f>
        <x:v>0</x:v>
      </x:c>
      <x:c r="Q4" s="24" t="n">
        <x:f>SUMIFS('Project Date Detail'!$J$2:$J$49,'Project Date Detail'!$A$2:$A$49,$A4,'Project Date Detail'!$B$2:$B$49,Q$3)</x:f>
        <x:v>0</x:v>
      </x:c>
    </x:row>
    <x:row r="5">
      <x:c r="A5" s="22" t="n">
        <x:v>46176</x:v>
      </x:c>
      <x:c r="B5" s="23" t="n">
        <x:f>SUMIFS('Project Date Detail'!$J$2:$J$49,'Project Date Detail'!$A$2:$A$49,$A5,'Project Date Detail'!$B$2:$B$49,B$3)</x:f>
        <x:v>5495476</x:v>
      </x:c>
      <x:c r="C5" s="23" t="n">
        <x:f>SUMIFS('Project Date Detail'!$J$2:$J$49,'Project Date Detail'!$A$2:$A$49,$A5,'Project Date Detail'!$B$2:$B$49,C$3)</x:f>
        <x:v>261133</x:v>
      </x:c>
      <x:c r="D5" s="23" t="n">
        <x:f>SUMIFS('Project Date Detail'!$J$2:$J$49,'Project Date Detail'!$A$2:$A$49,$A5,'Project Date Detail'!$B$2:$B$49,D$3)</x:f>
        <x:v>0</x:v>
      </x:c>
      <x:c r="E5" s="23" t="n">
        <x:f>SUMIFS('Project Date Detail'!$J$2:$J$49,'Project Date Detail'!$A$2:$A$49,$A5,'Project Date Detail'!$B$2:$B$49,E$3)</x:f>
        <x:v>0</x:v>
      </x:c>
      <x:c r="F5" s="23" t="n">
        <x:f>SUMIFS('Project Date Detail'!$J$2:$J$49,'Project Date Detail'!$A$2:$A$49,$A5,'Project Date Detail'!$B$2:$B$49,F$3)</x:f>
        <x:v>0</x:v>
      </x:c>
      <x:c r="G5" s="23" t="n">
        <x:f>SUMIFS('Project Date Detail'!$J$2:$J$49,'Project Date Detail'!$A$2:$A$49,$A5,'Project Date Detail'!$B$2:$B$49,G$3)</x:f>
        <x:v>0</x:v>
      </x:c>
      <x:c r="H5" s="23" t="n">
        <x:f>SUMIFS('Project Date Detail'!$J$2:$J$49,'Project Date Detail'!$A$2:$A$49,$A5,'Project Date Detail'!$B$2:$B$49,H$3)</x:f>
        <x:v>459353</x:v>
      </x:c>
      <x:c r="I5" s="23" t="n">
        <x:f>SUMIFS('Project Date Detail'!$J$2:$J$49,'Project Date Detail'!$A$2:$A$49,$A5,'Project Date Detail'!$B$2:$B$49,I$3)</x:f>
        <x:v>131458</x:v>
      </x:c>
      <x:c r="J5" s="23" t="n">
        <x:f>SUMIFS('Project Date Detail'!$J$2:$J$49,'Project Date Detail'!$A$2:$A$49,$A5,'Project Date Detail'!$B$2:$B$49,J$3)</x:f>
        <x:v>0</x:v>
      </x:c>
      <x:c r="K5" s="23" t="n">
        <x:f>SUMIFS('Project Date Detail'!$J$2:$J$49,'Project Date Detail'!$A$2:$A$49,$A5,'Project Date Detail'!$B$2:$B$49,K$3)</x:f>
        <x:v>0</x:v>
      </x:c>
      <x:c r="L5" s="23" t="n">
        <x:f>SUMIFS('Project Date Detail'!$J$2:$J$49,'Project Date Detail'!$A$2:$A$49,$A5,'Project Date Detail'!$B$2:$B$49,L$3)</x:f>
        <x:v>0</x:v>
      </x:c>
      <x:c r="M5" s="23" t="n">
        <x:f>SUMIFS('Project Date Detail'!$J$2:$J$49,'Project Date Detail'!$A$2:$A$49,$A5,'Project Date Detail'!$B$2:$B$49,M$3)</x:f>
        <x:v>0</x:v>
      </x:c>
      <x:c r="N5" s="23" t="n">
        <x:f>SUMIFS('Project Date Detail'!$J$2:$J$49,'Project Date Detail'!$A$2:$A$49,$A5,'Project Date Detail'!$B$2:$B$49,N$3)</x:f>
        <x:v>0</x:v>
      </x:c>
      <x:c r="O5" s="23" t="n">
        <x:f>SUMIFS('Project Date Detail'!$J$2:$J$49,'Project Date Detail'!$A$2:$A$49,$A5,'Project Date Detail'!$B$2:$B$49,O$3)</x:f>
        <x:v>0</x:v>
      </x:c>
      <x:c r="P5" s="23" t="n">
        <x:f>SUMIFS('Project Date Detail'!$J$2:$J$49,'Project Date Detail'!$A$2:$A$49,$A5,'Project Date Detail'!$B$2:$B$49,P$3)</x:f>
        <x:v>0</x:v>
      </x:c>
      <x:c r="Q5" s="24" t="n">
        <x:f>SUMIFS('Project Date Detail'!$J$2:$J$49,'Project Date Detail'!$A$2:$A$49,$A5,'Project Date Detail'!$B$2:$B$49,Q$3)</x:f>
        <x:v>0</x:v>
      </x:c>
    </x:row>
    <x:row r="6">
      <x:c r="A6" s="22" t="n">
        <x:v>46177</x:v>
      </x:c>
      <x:c r="B6" s="23" t="n">
        <x:f>SUMIFS('Project Date Detail'!$J$2:$J$49,'Project Date Detail'!$A$2:$A$49,$A6,'Project Date Detail'!$B$2:$B$49,B$3)</x:f>
        <x:v>87726293</x:v>
      </x:c>
      <x:c r="C6" s="23" t="n">
        <x:f>SUMIFS('Project Date Detail'!$J$2:$J$49,'Project Date Detail'!$A$2:$A$49,$A6,'Project Date Detail'!$B$2:$B$49,C$3)</x:f>
        <x:v>0</x:v>
      </x:c>
      <x:c r="D6" s="23" t="n">
        <x:f>SUMIFS('Project Date Detail'!$J$2:$J$49,'Project Date Detail'!$A$2:$A$49,$A6,'Project Date Detail'!$B$2:$B$49,D$3)</x:f>
        <x:v>0</x:v>
      </x:c>
      <x:c r="E6" s="23" t="n">
        <x:f>SUMIFS('Project Date Detail'!$J$2:$J$49,'Project Date Detail'!$A$2:$A$49,$A6,'Project Date Detail'!$B$2:$B$49,E$3)</x:f>
        <x:v>0</x:v>
      </x:c>
      <x:c r="F6" s="23" t="n">
        <x:f>SUMIFS('Project Date Detail'!$J$2:$J$49,'Project Date Detail'!$A$2:$A$49,$A6,'Project Date Detail'!$B$2:$B$49,F$3)</x:f>
        <x:v>0</x:v>
      </x:c>
      <x:c r="G6" s="23" t="n">
        <x:f>SUMIFS('Project Date Detail'!$J$2:$J$49,'Project Date Detail'!$A$2:$A$49,$A6,'Project Date Detail'!$B$2:$B$49,G$3)</x:f>
        <x:v>0</x:v>
      </x:c>
      <x:c r="H6" s="23" t="n">
        <x:f>SUMIFS('Project Date Detail'!$J$2:$J$49,'Project Date Detail'!$A$2:$A$49,$A6,'Project Date Detail'!$B$2:$B$49,H$3)</x:f>
        <x:v>0</x:v>
      </x:c>
      <x:c r="I6" s="23" t="n">
        <x:f>SUMIFS('Project Date Detail'!$J$2:$J$49,'Project Date Detail'!$A$2:$A$49,$A6,'Project Date Detail'!$B$2:$B$49,I$3)</x:f>
        <x:v>0</x:v>
      </x:c>
      <x:c r="J6" s="23" t="n">
        <x:f>SUMIFS('Project Date Detail'!$J$2:$J$49,'Project Date Detail'!$A$2:$A$49,$A6,'Project Date Detail'!$B$2:$B$49,J$3)</x:f>
        <x:v>0</x:v>
      </x:c>
      <x:c r="K6" s="23" t="n">
        <x:f>SUMIFS('Project Date Detail'!$J$2:$J$49,'Project Date Detail'!$A$2:$A$49,$A6,'Project Date Detail'!$B$2:$B$49,K$3)</x:f>
        <x:v>0</x:v>
      </x:c>
      <x:c r="L6" s="23" t="n">
        <x:f>SUMIFS('Project Date Detail'!$J$2:$J$49,'Project Date Detail'!$A$2:$A$49,$A6,'Project Date Detail'!$B$2:$B$49,L$3)</x:f>
        <x:v>0</x:v>
      </x:c>
      <x:c r="M6" s="23" t="n">
        <x:f>SUMIFS('Project Date Detail'!$J$2:$J$49,'Project Date Detail'!$A$2:$A$49,$A6,'Project Date Detail'!$B$2:$B$49,M$3)</x:f>
        <x:v>0</x:v>
      </x:c>
      <x:c r="N6" s="23" t="n">
        <x:f>SUMIFS('Project Date Detail'!$J$2:$J$49,'Project Date Detail'!$A$2:$A$49,$A6,'Project Date Detail'!$B$2:$B$49,N$3)</x:f>
        <x:v>0</x:v>
      </x:c>
      <x:c r="O6" s="23" t="n">
        <x:f>SUMIFS('Project Date Detail'!$J$2:$J$49,'Project Date Detail'!$A$2:$A$49,$A6,'Project Date Detail'!$B$2:$B$49,O$3)</x:f>
        <x:v>0</x:v>
      </x:c>
      <x:c r="P6" s="23" t="n">
        <x:f>SUMIFS('Project Date Detail'!$J$2:$J$49,'Project Date Detail'!$A$2:$A$49,$A6,'Project Date Detail'!$B$2:$B$49,P$3)</x:f>
        <x:v>0</x:v>
      </x:c>
      <x:c r="Q6" s="24" t="n">
        <x:f>SUMIFS('Project Date Detail'!$J$2:$J$49,'Project Date Detail'!$A$2:$A$49,$A6,'Project Date Detail'!$B$2:$B$49,Q$3)</x:f>
        <x:v>0</x:v>
      </x:c>
    </x:row>
    <x:row r="7">
      <x:c r="A7" s="22" t="n">
        <x:v>46178</x:v>
      </x:c>
      <x:c r="B7" s="23" t="n">
        <x:f>SUMIFS('Project Date Detail'!$J$2:$J$49,'Project Date Detail'!$A$2:$A$49,$A7,'Project Date Detail'!$B$2:$B$49,B$3)</x:f>
        <x:v>33229746</x:v>
      </x:c>
      <x:c r="C7" s="23" t="n">
        <x:f>SUMIFS('Project Date Detail'!$J$2:$J$49,'Project Date Detail'!$A$2:$A$49,$A7,'Project Date Detail'!$B$2:$B$49,C$3)</x:f>
        <x:v>8528692</x:v>
      </x:c>
      <x:c r="D7" s="23" t="n">
        <x:f>SUMIFS('Project Date Detail'!$J$2:$J$49,'Project Date Detail'!$A$2:$A$49,$A7,'Project Date Detail'!$B$2:$B$49,D$3)</x:f>
        <x:v>0</x:v>
      </x:c>
      <x:c r="E7" s="23" t="n">
        <x:f>SUMIFS('Project Date Detail'!$J$2:$J$49,'Project Date Detail'!$A$2:$A$49,$A7,'Project Date Detail'!$B$2:$B$49,E$3)</x:f>
        <x:v>0</x:v>
      </x:c>
      <x:c r="F7" s="23" t="n">
        <x:f>SUMIFS('Project Date Detail'!$J$2:$J$49,'Project Date Detail'!$A$2:$A$49,$A7,'Project Date Detail'!$B$2:$B$49,F$3)</x:f>
        <x:v>0</x:v>
      </x:c>
      <x:c r="G7" s="23" t="n">
        <x:f>SUMIFS('Project Date Detail'!$J$2:$J$49,'Project Date Detail'!$A$2:$A$49,$A7,'Project Date Detail'!$B$2:$B$49,G$3)</x:f>
        <x:v>0</x:v>
      </x:c>
      <x:c r="H7" s="23" t="n">
        <x:f>SUMIFS('Project Date Detail'!$J$2:$J$49,'Project Date Detail'!$A$2:$A$49,$A7,'Project Date Detail'!$B$2:$B$49,H$3)</x:f>
        <x:v>0</x:v>
      </x:c>
      <x:c r="I7" s="23" t="n">
        <x:f>SUMIFS('Project Date Detail'!$J$2:$J$49,'Project Date Detail'!$A$2:$A$49,$A7,'Project Date Detail'!$B$2:$B$49,I$3)</x:f>
        <x:v>0</x:v>
      </x:c>
      <x:c r="J7" s="23" t="n">
        <x:f>SUMIFS('Project Date Detail'!$J$2:$J$49,'Project Date Detail'!$A$2:$A$49,$A7,'Project Date Detail'!$B$2:$B$49,J$3)</x:f>
        <x:v>0</x:v>
      </x:c>
      <x:c r="K7" s="23" t="n">
        <x:f>SUMIFS('Project Date Detail'!$J$2:$J$49,'Project Date Detail'!$A$2:$A$49,$A7,'Project Date Detail'!$B$2:$B$49,K$3)</x:f>
        <x:v>0</x:v>
      </x:c>
      <x:c r="L7" s="23" t="n">
        <x:f>SUMIFS('Project Date Detail'!$J$2:$J$49,'Project Date Detail'!$A$2:$A$49,$A7,'Project Date Detail'!$B$2:$B$49,L$3)</x:f>
        <x:v>0</x:v>
      </x:c>
      <x:c r="M7" s="23" t="n">
        <x:f>SUMIFS('Project Date Detail'!$J$2:$J$49,'Project Date Detail'!$A$2:$A$49,$A7,'Project Date Detail'!$B$2:$B$49,M$3)</x:f>
        <x:v>0</x:v>
      </x:c>
      <x:c r="N7" s="23" t="n">
        <x:f>SUMIFS('Project Date Detail'!$J$2:$J$49,'Project Date Detail'!$A$2:$A$49,$A7,'Project Date Detail'!$B$2:$B$49,N$3)</x:f>
        <x:v>0</x:v>
      </x:c>
      <x:c r="O7" s="23" t="n">
        <x:f>SUMIFS('Project Date Detail'!$J$2:$J$49,'Project Date Detail'!$A$2:$A$49,$A7,'Project Date Detail'!$B$2:$B$49,O$3)</x:f>
        <x:v>0</x:v>
      </x:c>
      <x:c r="P7" s="23" t="n">
        <x:f>SUMIFS('Project Date Detail'!$J$2:$J$49,'Project Date Detail'!$A$2:$A$49,$A7,'Project Date Detail'!$B$2:$B$49,P$3)</x:f>
        <x:v>0</x:v>
      </x:c>
      <x:c r="Q7" s="24" t="n">
        <x:f>SUMIFS('Project Date Detail'!$J$2:$J$49,'Project Date Detail'!$A$2:$A$49,$A7,'Project Date Detail'!$B$2:$B$49,Q$3)</x:f>
        <x:v>0</x:v>
      </x:c>
    </x:row>
    <x:row r="8">
      <x:c r="A8" s="22" t="n">
        <x:v>46181</x:v>
      </x:c>
      <x:c r="B8" s="23" t="n">
        <x:f>SUMIFS('Project Date Detail'!$J$2:$J$49,'Project Date Detail'!$A$2:$A$49,$A8,'Project Date Detail'!$B$2:$B$49,B$3)</x:f>
        <x:v>12423</x:v>
      </x:c>
      <x:c r="C8" s="23" t="n">
        <x:f>SUMIFS('Project Date Detail'!$J$2:$J$49,'Project Date Detail'!$A$2:$A$49,$A8,'Project Date Detail'!$B$2:$B$49,C$3)</x:f>
        <x:v>2836</x:v>
      </x:c>
      <x:c r="D8" s="23" t="n">
        <x:f>SUMIFS('Project Date Detail'!$J$2:$J$49,'Project Date Detail'!$A$2:$A$49,$A8,'Project Date Detail'!$B$2:$B$49,D$3)</x:f>
        <x:v>0</x:v>
      </x:c>
      <x:c r="E8" s="23" t="n">
        <x:f>SUMIFS('Project Date Detail'!$J$2:$J$49,'Project Date Detail'!$A$2:$A$49,$A8,'Project Date Detail'!$B$2:$B$49,E$3)</x:f>
        <x:v>0</x:v>
      </x:c>
      <x:c r="F8" s="23" t="n">
        <x:f>SUMIFS('Project Date Detail'!$J$2:$J$49,'Project Date Detail'!$A$2:$A$49,$A8,'Project Date Detail'!$B$2:$B$49,F$3)</x:f>
        <x:v>0</x:v>
      </x:c>
      <x:c r="G8" s="23" t="n">
        <x:f>SUMIFS('Project Date Detail'!$J$2:$J$49,'Project Date Detail'!$A$2:$A$49,$A8,'Project Date Detail'!$B$2:$B$49,G$3)</x:f>
        <x:v>0</x:v>
      </x:c>
      <x:c r="H8" s="23" t="n">
        <x:f>SUMIFS('Project Date Detail'!$J$2:$J$49,'Project Date Detail'!$A$2:$A$49,$A8,'Project Date Detail'!$B$2:$B$49,H$3)</x:f>
        <x:v>0</x:v>
      </x:c>
      <x:c r="I8" s="23" t="n">
        <x:f>SUMIFS('Project Date Detail'!$J$2:$J$49,'Project Date Detail'!$A$2:$A$49,$A8,'Project Date Detail'!$B$2:$B$49,I$3)</x:f>
        <x:v>0</x:v>
      </x:c>
      <x:c r="J8" s="23" t="n">
        <x:f>SUMIFS('Project Date Detail'!$J$2:$J$49,'Project Date Detail'!$A$2:$A$49,$A8,'Project Date Detail'!$B$2:$B$49,J$3)</x:f>
        <x:v>0</x:v>
      </x:c>
      <x:c r="K8" s="23" t="n">
        <x:f>SUMIFS('Project Date Detail'!$J$2:$J$49,'Project Date Detail'!$A$2:$A$49,$A8,'Project Date Detail'!$B$2:$B$49,K$3)</x:f>
        <x:v>0</x:v>
      </x:c>
      <x:c r="L8" s="23" t="n">
        <x:f>SUMIFS('Project Date Detail'!$J$2:$J$49,'Project Date Detail'!$A$2:$A$49,$A8,'Project Date Detail'!$B$2:$B$49,L$3)</x:f>
        <x:v>0</x:v>
      </x:c>
      <x:c r="M8" s="23" t="n">
        <x:f>SUMIFS('Project Date Detail'!$J$2:$J$49,'Project Date Detail'!$A$2:$A$49,$A8,'Project Date Detail'!$B$2:$B$49,M$3)</x:f>
        <x:v>0</x:v>
      </x:c>
      <x:c r="N8" s="23" t="n">
        <x:f>SUMIFS('Project Date Detail'!$J$2:$J$49,'Project Date Detail'!$A$2:$A$49,$A8,'Project Date Detail'!$B$2:$B$49,N$3)</x:f>
        <x:v>0</x:v>
      </x:c>
      <x:c r="O8" s="23" t="n">
        <x:f>SUMIFS('Project Date Detail'!$J$2:$J$49,'Project Date Detail'!$A$2:$A$49,$A8,'Project Date Detail'!$B$2:$B$49,O$3)</x:f>
        <x:v>0</x:v>
      </x:c>
      <x:c r="P8" s="23" t="n">
        <x:f>SUMIFS('Project Date Detail'!$J$2:$J$49,'Project Date Detail'!$A$2:$A$49,$A8,'Project Date Detail'!$B$2:$B$49,P$3)</x:f>
        <x:v>0</x:v>
      </x:c>
      <x:c r="Q8" s="24" t="n">
        <x:f>SUMIFS('Project Date Detail'!$J$2:$J$49,'Project Date Detail'!$A$2:$A$49,$A8,'Project Date Detail'!$B$2:$B$49,Q$3)</x:f>
        <x:v>0</x:v>
      </x:c>
    </x:row>
    <x:row r="9">
      <x:c r="A9" s="22" t="n">
        <x:v>46182</x:v>
      </x:c>
      <x:c r="B9" s="23" t="n">
        <x:f>SUMIFS('Project Date Detail'!$J$2:$J$49,'Project Date Detail'!$A$2:$A$49,$A9,'Project Date Detail'!$B$2:$B$49,B$3)</x:f>
        <x:v>10322644</x:v>
      </x:c>
      <x:c r="C9" s="23" t="n">
        <x:f>SUMIFS('Project Date Detail'!$J$2:$J$49,'Project Date Detail'!$A$2:$A$49,$A9,'Project Date Detail'!$B$2:$B$49,C$3)</x:f>
        <x:v>8370288</x:v>
      </x:c>
      <x:c r="D9" s="23" t="n">
        <x:f>SUMIFS('Project Date Detail'!$J$2:$J$49,'Project Date Detail'!$A$2:$A$49,$A9,'Project Date Detail'!$B$2:$B$49,D$3)</x:f>
        <x:v>0</x:v>
      </x:c>
      <x:c r="E9" s="23" t="n">
        <x:f>SUMIFS('Project Date Detail'!$J$2:$J$49,'Project Date Detail'!$A$2:$A$49,$A9,'Project Date Detail'!$B$2:$B$49,E$3)</x:f>
        <x:v>0</x:v>
      </x:c>
      <x:c r="F9" s="23" t="n">
        <x:f>SUMIFS('Project Date Detail'!$J$2:$J$49,'Project Date Detail'!$A$2:$A$49,$A9,'Project Date Detail'!$B$2:$B$49,F$3)</x:f>
        <x:v>0</x:v>
      </x:c>
      <x:c r="G9" s="23" t="n">
        <x:f>SUMIFS('Project Date Detail'!$J$2:$J$49,'Project Date Detail'!$A$2:$A$49,$A9,'Project Date Detail'!$B$2:$B$49,G$3)</x:f>
        <x:v>0</x:v>
      </x:c>
      <x:c r="H9" s="23" t="n">
        <x:f>SUMIFS('Project Date Detail'!$J$2:$J$49,'Project Date Detail'!$A$2:$A$49,$A9,'Project Date Detail'!$B$2:$B$49,H$3)</x:f>
        <x:v>0</x:v>
      </x:c>
      <x:c r="I9" s="23" t="n">
        <x:f>SUMIFS('Project Date Detail'!$J$2:$J$49,'Project Date Detail'!$A$2:$A$49,$A9,'Project Date Detail'!$B$2:$B$49,I$3)</x:f>
        <x:v>0</x:v>
      </x:c>
      <x:c r="J9" s="23" t="n">
        <x:f>SUMIFS('Project Date Detail'!$J$2:$J$49,'Project Date Detail'!$A$2:$A$49,$A9,'Project Date Detail'!$B$2:$B$49,J$3)</x:f>
        <x:v>0</x:v>
      </x:c>
      <x:c r="K9" s="23" t="n">
        <x:f>SUMIFS('Project Date Detail'!$J$2:$J$49,'Project Date Detail'!$A$2:$A$49,$A9,'Project Date Detail'!$B$2:$B$49,K$3)</x:f>
        <x:v>0</x:v>
      </x:c>
      <x:c r="L9" s="23" t="n">
        <x:f>SUMIFS('Project Date Detail'!$J$2:$J$49,'Project Date Detail'!$A$2:$A$49,$A9,'Project Date Detail'!$B$2:$B$49,L$3)</x:f>
        <x:v>0</x:v>
      </x:c>
      <x:c r="M9" s="23" t="n">
        <x:f>SUMIFS('Project Date Detail'!$J$2:$J$49,'Project Date Detail'!$A$2:$A$49,$A9,'Project Date Detail'!$B$2:$B$49,M$3)</x:f>
        <x:v>0</x:v>
      </x:c>
      <x:c r="N9" s="23" t="n">
        <x:f>SUMIFS('Project Date Detail'!$J$2:$J$49,'Project Date Detail'!$A$2:$A$49,$A9,'Project Date Detail'!$B$2:$B$49,N$3)</x:f>
        <x:v>0</x:v>
      </x:c>
      <x:c r="O9" s="23" t="n">
        <x:f>SUMIFS('Project Date Detail'!$J$2:$J$49,'Project Date Detail'!$A$2:$A$49,$A9,'Project Date Detail'!$B$2:$B$49,O$3)</x:f>
        <x:v>0</x:v>
      </x:c>
      <x:c r="P9" s="23" t="n">
        <x:f>SUMIFS('Project Date Detail'!$J$2:$J$49,'Project Date Detail'!$A$2:$A$49,$A9,'Project Date Detail'!$B$2:$B$49,P$3)</x:f>
        <x:v>0</x:v>
      </x:c>
      <x:c r="Q9" s="24" t="n">
        <x:f>SUMIFS('Project Date Detail'!$J$2:$J$49,'Project Date Detail'!$A$2:$A$49,$A9,'Project Date Detail'!$B$2:$B$49,Q$3)</x:f>
        <x:v>0</x:v>
      </x:c>
    </x:row>
    <x:row r="10">
      <x:c r="A10" s="22" t="n">
        <x:v>46188</x:v>
      </x:c>
      <x:c r="B10" s="23" t="n">
        <x:f>SUMIFS('Project Date Detail'!$J$2:$J$49,'Project Date Detail'!$A$2:$A$49,$A10,'Project Date Detail'!$B$2:$B$49,B$3)</x:f>
        <x:v>113418942</x:v>
      </x:c>
      <x:c r="C10" s="23" t="n">
        <x:f>SUMIFS('Project Date Detail'!$J$2:$J$49,'Project Date Detail'!$A$2:$A$49,$A10,'Project Date Detail'!$B$2:$B$49,C$3)</x:f>
        <x:v>38531900</x:v>
      </x:c>
      <x:c r="D10" s="23" t="n">
        <x:f>SUMIFS('Project Date Detail'!$J$2:$J$49,'Project Date Detail'!$A$2:$A$49,$A10,'Project Date Detail'!$B$2:$B$49,D$3)</x:f>
        <x:v>0</x:v>
      </x:c>
      <x:c r="E10" s="23" t="n">
        <x:f>SUMIFS('Project Date Detail'!$J$2:$J$49,'Project Date Detail'!$A$2:$A$49,$A10,'Project Date Detail'!$B$2:$B$49,E$3)</x:f>
        <x:v>0</x:v>
      </x:c>
      <x:c r="F10" s="23" t="n">
        <x:f>SUMIFS('Project Date Detail'!$J$2:$J$49,'Project Date Detail'!$A$2:$A$49,$A10,'Project Date Detail'!$B$2:$B$49,F$3)</x:f>
        <x:v>0</x:v>
      </x:c>
      <x:c r="G10" s="23" t="n">
        <x:f>SUMIFS('Project Date Detail'!$J$2:$J$49,'Project Date Detail'!$A$2:$A$49,$A10,'Project Date Detail'!$B$2:$B$49,G$3)</x:f>
        <x:v>0</x:v>
      </x:c>
      <x:c r="H10" s="23" t="n">
        <x:f>SUMIFS('Project Date Detail'!$J$2:$J$49,'Project Date Detail'!$A$2:$A$49,$A10,'Project Date Detail'!$B$2:$B$49,H$3)</x:f>
        <x:v>0</x:v>
      </x:c>
      <x:c r="I10" s="23" t="n">
        <x:f>SUMIFS('Project Date Detail'!$J$2:$J$49,'Project Date Detail'!$A$2:$A$49,$A10,'Project Date Detail'!$B$2:$B$49,I$3)</x:f>
        <x:v>0</x:v>
      </x:c>
      <x:c r="J10" s="23" t="n">
        <x:f>SUMIFS('Project Date Detail'!$J$2:$J$49,'Project Date Detail'!$A$2:$A$49,$A10,'Project Date Detail'!$B$2:$B$49,J$3)</x:f>
        <x:v>0</x:v>
      </x:c>
      <x:c r="K10" s="23" t="n">
        <x:f>SUMIFS('Project Date Detail'!$J$2:$J$49,'Project Date Detail'!$A$2:$A$49,$A10,'Project Date Detail'!$B$2:$B$49,K$3)</x:f>
        <x:v>0</x:v>
      </x:c>
      <x:c r="L10" s="23" t="n">
        <x:f>SUMIFS('Project Date Detail'!$J$2:$J$49,'Project Date Detail'!$A$2:$A$49,$A10,'Project Date Detail'!$B$2:$B$49,L$3)</x:f>
        <x:v>0</x:v>
      </x:c>
      <x:c r="M10" s="23" t="n">
        <x:f>SUMIFS('Project Date Detail'!$J$2:$J$49,'Project Date Detail'!$A$2:$A$49,$A10,'Project Date Detail'!$B$2:$B$49,M$3)</x:f>
        <x:v>0</x:v>
      </x:c>
      <x:c r="N10" s="23" t="n">
        <x:f>SUMIFS('Project Date Detail'!$J$2:$J$49,'Project Date Detail'!$A$2:$A$49,$A10,'Project Date Detail'!$B$2:$B$49,N$3)</x:f>
        <x:v>265772</x:v>
      </x:c>
      <x:c r="O10" s="23" t="n">
        <x:f>SUMIFS('Project Date Detail'!$J$2:$J$49,'Project Date Detail'!$A$2:$A$49,$A10,'Project Date Detail'!$B$2:$B$49,O$3)</x:f>
        <x:v>0</x:v>
      </x:c>
      <x:c r="P10" s="23" t="n">
        <x:f>SUMIFS('Project Date Detail'!$J$2:$J$49,'Project Date Detail'!$A$2:$A$49,$A10,'Project Date Detail'!$B$2:$B$49,P$3)</x:f>
        <x:v>0</x:v>
      </x:c>
      <x:c r="Q10" s="24" t="n">
        <x:f>SUMIFS('Project Date Detail'!$J$2:$J$49,'Project Date Detail'!$A$2:$A$49,$A10,'Project Date Detail'!$B$2:$B$49,Q$3)</x:f>
        <x:v>0</x:v>
      </x:c>
    </x:row>
    <x:row r="11">
      <x:c r="A11" s="22" t="n">
        <x:v>46189</x:v>
      </x:c>
      <x:c r="B11" s="23" t="n">
        <x:f>SUMIFS('Project Date Detail'!$J$2:$J$49,'Project Date Detail'!$A$2:$A$49,$A11,'Project Date Detail'!$B$2:$B$49,B$3)</x:f>
        <x:v>36554350</x:v>
      </x:c>
      <x:c r="C11" s="23" t="n">
        <x:f>SUMIFS('Project Date Detail'!$J$2:$J$49,'Project Date Detail'!$A$2:$A$49,$A11,'Project Date Detail'!$B$2:$B$49,C$3)</x:f>
        <x:v>55924466</x:v>
      </x:c>
      <x:c r="D11" s="23" t="n">
        <x:f>SUMIFS('Project Date Detail'!$J$2:$J$49,'Project Date Detail'!$A$2:$A$49,$A11,'Project Date Detail'!$B$2:$B$49,D$3)</x:f>
        <x:v>0</x:v>
      </x:c>
      <x:c r="E11" s="23" t="n">
        <x:f>SUMIFS('Project Date Detail'!$J$2:$J$49,'Project Date Detail'!$A$2:$A$49,$A11,'Project Date Detail'!$B$2:$B$49,E$3)</x:f>
        <x:v>0</x:v>
      </x:c>
      <x:c r="F11" s="23" t="n">
        <x:f>SUMIFS('Project Date Detail'!$J$2:$J$49,'Project Date Detail'!$A$2:$A$49,$A11,'Project Date Detail'!$B$2:$B$49,F$3)</x:f>
        <x:v>0</x:v>
      </x:c>
      <x:c r="G11" s="23" t="n">
        <x:f>SUMIFS('Project Date Detail'!$J$2:$J$49,'Project Date Detail'!$A$2:$A$49,$A11,'Project Date Detail'!$B$2:$B$49,G$3)</x:f>
        <x:v>0</x:v>
      </x:c>
      <x:c r="H11" s="23" t="n">
        <x:f>SUMIFS('Project Date Detail'!$J$2:$J$49,'Project Date Detail'!$A$2:$A$49,$A11,'Project Date Detail'!$B$2:$B$49,H$3)</x:f>
        <x:v>0</x:v>
      </x:c>
      <x:c r="I11" s="23" t="n">
        <x:f>SUMIFS('Project Date Detail'!$J$2:$J$49,'Project Date Detail'!$A$2:$A$49,$A11,'Project Date Detail'!$B$2:$B$49,I$3)</x:f>
        <x:v>0</x:v>
      </x:c>
      <x:c r="J11" s="23" t="n">
        <x:f>SUMIFS('Project Date Detail'!$J$2:$J$49,'Project Date Detail'!$A$2:$A$49,$A11,'Project Date Detail'!$B$2:$B$49,J$3)</x:f>
        <x:v>0</x:v>
      </x:c>
      <x:c r="K11" s="23" t="n">
        <x:f>SUMIFS('Project Date Detail'!$J$2:$J$49,'Project Date Detail'!$A$2:$A$49,$A11,'Project Date Detail'!$B$2:$B$49,K$3)</x:f>
        <x:v>0</x:v>
      </x:c>
      <x:c r="L11" s="23" t="n">
        <x:f>SUMIFS('Project Date Detail'!$J$2:$J$49,'Project Date Detail'!$A$2:$A$49,$A11,'Project Date Detail'!$B$2:$B$49,L$3)</x:f>
        <x:v>0</x:v>
      </x:c>
      <x:c r="M11" s="23" t="n">
        <x:f>SUMIFS('Project Date Detail'!$J$2:$J$49,'Project Date Detail'!$A$2:$A$49,$A11,'Project Date Detail'!$B$2:$B$49,M$3)</x:f>
        <x:v>0</x:v>
      </x:c>
      <x:c r="N11" s="23" t="n">
        <x:f>SUMIFS('Project Date Detail'!$J$2:$J$49,'Project Date Detail'!$A$2:$A$49,$A11,'Project Date Detail'!$B$2:$B$49,N$3)</x:f>
        <x:v>0</x:v>
      </x:c>
      <x:c r="O11" s="23" t="n">
        <x:f>SUMIFS('Project Date Detail'!$J$2:$J$49,'Project Date Detail'!$A$2:$A$49,$A11,'Project Date Detail'!$B$2:$B$49,O$3)</x:f>
        <x:v>0</x:v>
      </x:c>
      <x:c r="P11" s="23" t="n">
        <x:f>SUMIFS('Project Date Detail'!$J$2:$J$49,'Project Date Detail'!$A$2:$A$49,$A11,'Project Date Detail'!$B$2:$B$49,P$3)</x:f>
        <x:v>0</x:v>
      </x:c>
      <x:c r="Q11" s="24" t="n">
        <x:f>SUMIFS('Project Date Detail'!$J$2:$J$49,'Project Date Detail'!$A$2:$A$49,$A11,'Project Date Detail'!$B$2:$B$49,Q$3)</x:f>
        <x:v>0</x:v>
      </x:c>
    </x:row>
    <x:row r="12">
      <x:c r="A12" s="22" t="n">
        <x:v>46190</x:v>
      </x:c>
      <x:c r="B12" s="23" t="n">
        <x:f>SUMIFS('Project Date Detail'!$J$2:$J$49,'Project Date Detail'!$A$2:$A$49,$A12,'Project Date Detail'!$B$2:$B$49,B$3)</x:f>
        <x:v>39510180</x:v>
      </x:c>
      <x:c r="C12" s="23" t="n">
        <x:f>SUMIFS('Project Date Detail'!$J$2:$J$49,'Project Date Detail'!$A$2:$A$49,$A12,'Project Date Detail'!$B$2:$B$49,C$3)</x:f>
        <x:v>28028516</x:v>
      </x:c>
      <x:c r="D12" s="23" t="n">
        <x:f>SUMIFS('Project Date Detail'!$J$2:$J$49,'Project Date Detail'!$A$2:$A$49,$A12,'Project Date Detail'!$B$2:$B$49,D$3)</x:f>
        <x:v>4237923</x:v>
      </x:c>
      <x:c r="E12" s="23" t="n">
        <x:f>SUMIFS('Project Date Detail'!$J$2:$J$49,'Project Date Detail'!$A$2:$A$49,$A12,'Project Date Detail'!$B$2:$B$49,E$3)</x:f>
        <x:v>0</x:v>
      </x:c>
      <x:c r="F12" s="23" t="n">
        <x:f>SUMIFS('Project Date Detail'!$J$2:$J$49,'Project Date Detail'!$A$2:$A$49,$A12,'Project Date Detail'!$B$2:$B$49,F$3)</x:f>
        <x:v>0</x:v>
      </x:c>
      <x:c r="G12" s="23" t="n">
        <x:f>SUMIFS('Project Date Detail'!$J$2:$J$49,'Project Date Detail'!$A$2:$A$49,$A12,'Project Date Detail'!$B$2:$B$49,G$3)</x:f>
        <x:v>0</x:v>
      </x:c>
      <x:c r="H12" s="23" t="n">
        <x:f>SUMIFS('Project Date Detail'!$J$2:$J$49,'Project Date Detail'!$A$2:$A$49,$A12,'Project Date Detail'!$B$2:$B$49,H$3)</x:f>
        <x:v>0</x:v>
      </x:c>
      <x:c r="I12" s="23" t="n">
        <x:f>SUMIFS('Project Date Detail'!$J$2:$J$49,'Project Date Detail'!$A$2:$A$49,$A12,'Project Date Detail'!$B$2:$B$49,I$3)</x:f>
        <x:v>0</x:v>
      </x:c>
      <x:c r="J12" s="23" t="n">
        <x:f>SUMIFS('Project Date Detail'!$J$2:$J$49,'Project Date Detail'!$A$2:$A$49,$A12,'Project Date Detail'!$B$2:$B$49,J$3)</x:f>
        <x:v>0</x:v>
      </x:c>
      <x:c r="K12" s="23" t="n">
        <x:f>SUMIFS('Project Date Detail'!$J$2:$J$49,'Project Date Detail'!$A$2:$A$49,$A12,'Project Date Detail'!$B$2:$B$49,K$3)</x:f>
        <x:v>0</x:v>
      </x:c>
      <x:c r="L12" s="23" t="n">
        <x:f>SUMIFS('Project Date Detail'!$J$2:$J$49,'Project Date Detail'!$A$2:$A$49,$A12,'Project Date Detail'!$B$2:$B$49,L$3)</x:f>
        <x:v>0</x:v>
      </x:c>
      <x:c r="M12" s="23" t="n">
        <x:f>SUMIFS('Project Date Detail'!$J$2:$J$49,'Project Date Detail'!$A$2:$A$49,$A12,'Project Date Detail'!$B$2:$B$49,M$3)</x:f>
        <x:v>694854</x:v>
      </x:c>
      <x:c r="N12" s="23" t="n">
        <x:f>SUMIFS('Project Date Detail'!$J$2:$J$49,'Project Date Detail'!$A$2:$A$49,$A12,'Project Date Detail'!$B$2:$B$49,N$3)</x:f>
        <x:v>0</x:v>
      </x:c>
      <x:c r="O12" s="23" t="n">
        <x:f>SUMIFS('Project Date Detail'!$J$2:$J$49,'Project Date Detail'!$A$2:$A$49,$A12,'Project Date Detail'!$B$2:$B$49,O$3)</x:f>
        <x:v>0</x:v>
      </x:c>
      <x:c r="P12" s="23" t="n">
        <x:f>SUMIFS('Project Date Detail'!$J$2:$J$49,'Project Date Detail'!$A$2:$A$49,$A12,'Project Date Detail'!$B$2:$B$49,P$3)</x:f>
        <x:v>0</x:v>
      </x:c>
      <x:c r="Q12" s="24" t="n">
        <x:f>SUMIFS('Project Date Detail'!$J$2:$J$49,'Project Date Detail'!$A$2:$A$49,$A12,'Project Date Detail'!$B$2:$B$49,Q$3)</x:f>
        <x:v>0</x:v>
      </x:c>
    </x:row>
    <x:row r="13">
      <x:c r="A13" s="22" t="n">
        <x:v>46191</x:v>
      </x:c>
      <x:c r="B13" s="23" t="n">
        <x:f>SUMIFS('Project Date Detail'!$J$2:$J$49,'Project Date Detail'!$A$2:$A$49,$A13,'Project Date Detail'!$B$2:$B$49,B$3)</x:f>
        <x:v>45501371</x:v>
      </x:c>
      <x:c r="C13" s="23" t="n">
        <x:f>SUMIFS('Project Date Detail'!$J$2:$J$49,'Project Date Detail'!$A$2:$A$49,$A13,'Project Date Detail'!$B$2:$B$49,C$3)</x:f>
        <x:v>0</x:v>
      </x:c>
      <x:c r="D13" s="23" t="n">
        <x:f>SUMIFS('Project Date Detail'!$J$2:$J$49,'Project Date Detail'!$A$2:$A$49,$A13,'Project Date Detail'!$B$2:$B$49,D$3)</x:f>
        <x:v>15138982</x:v>
      </x:c>
      <x:c r="E13" s="23" t="n">
        <x:f>SUMIFS('Project Date Detail'!$J$2:$J$49,'Project Date Detail'!$A$2:$A$49,$A13,'Project Date Detail'!$B$2:$B$49,E$3)</x:f>
        <x:v>14728052</x:v>
      </x:c>
      <x:c r="F13" s="23" t="n">
        <x:f>SUMIFS('Project Date Detail'!$J$2:$J$49,'Project Date Detail'!$A$2:$A$49,$A13,'Project Date Detail'!$B$2:$B$49,F$3)</x:f>
        <x:v>0</x:v>
      </x:c>
      <x:c r="G13" s="23" t="n">
        <x:f>SUMIFS('Project Date Detail'!$J$2:$J$49,'Project Date Detail'!$A$2:$A$49,$A13,'Project Date Detail'!$B$2:$B$49,G$3)</x:f>
        <x:v>0</x:v>
      </x:c>
      <x:c r="H13" s="23" t="n">
        <x:f>SUMIFS('Project Date Detail'!$J$2:$J$49,'Project Date Detail'!$A$2:$A$49,$A13,'Project Date Detail'!$B$2:$B$49,H$3)</x:f>
        <x:v>0</x:v>
      </x:c>
      <x:c r="I13" s="23" t="n">
        <x:f>SUMIFS('Project Date Detail'!$J$2:$J$49,'Project Date Detail'!$A$2:$A$49,$A13,'Project Date Detail'!$B$2:$B$49,I$3)</x:f>
        <x:v>0</x:v>
      </x:c>
      <x:c r="J13" s="23" t="n">
        <x:f>SUMIFS('Project Date Detail'!$J$2:$J$49,'Project Date Detail'!$A$2:$A$49,$A13,'Project Date Detail'!$B$2:$B$49,J$3)</x:f>
        <x:v>0</x:v>
      </x:c>
      <x:c r="K13" s="23" t="n">
        <x:f>SUMIFS('Project Date Detail'!$J$2:$J$49,'Project Date Detail'!$A$2:$A$49,$A13,'Project Date Detail'!$B$2:$B$49,K$3)</x:f>
        <x:v>723160</x:v>
      </x:c>
      <x:c r="L13" s="23" t="n">
        <x:f>SUMIFS('Project Date Detail'!$J$2:$J$49,'Project Date Detail'!$A$2:$A$49,$A13,'Project Date Detail'!$B$2:$B$49,L$3)</x:f>
        <x:v>0</x:v>
      </x:c>
      <x:c r="M13" s="23" t="n">
        <x:f>SUMIFS('Project Date Detail'!$J$2:$J$49,'Project Date Detail'!$A$2:$A$49,$A13,'Project Date Detail'!$B$2:$B$49,M$3)</x:f>
        <x:v>0</x:v>
      </x:c>
      <x:c r="N13" s="23" t="n">
        <x:f>SUMIFS('Project Date Detail'!$J$2:$J$49,'Project Date Detail'!$A$2:$A$49,$A13,'Project Date Detail'!$B$2:$B$49,N$3)</x:f>
        <x:v>0</x:v>
      </x:c>
      <x:c r="O13" s="23" t="n">
        <x:f>SUMIFS('Project Date Detail'!$J$2:$J$49,'Project Date Detail'!$A$2:$A$49,$A13,'Project Date Detail'!$B$2:$B$49,O$3)</x:f>
        <x:v>0</x:v>
      </x:c>
      <x:c r="P13" s="23" t="n">
        <x:f>SUMIFS('Project Date Detail'!$J$2:$J$49,'Project Date Detail'!$A$2:$A$49,$A13,'Project Date Detail'!$B$2:$B$49,P$3)</x:f>
        <x:v>0</x:v>
      </x:c>
      <x:c r="Q13" s="24" t="n">
        <x:f>SUMIFS('Project Date Detail'!$J$2:$J$49,'Project Date Detail'!$A$2:$A$49,$A13,'Project Date Detail'!$B$2:$B$49,Q$3)</x:f>
        <x:v>0</x:v>
      </x:c>
    </x:row>
    <x:row r="14">
      <x:c r="A14" s="22" t="n">
        <x:v>46195</x:v>
      </x:c>
      <x:c r="B14" s="23" t="n">
        <x:f>SUMIFS('Project Date Detail'!$J$2:$J$49,'Project Date Detail'!$A$2:$A$49,$A14,'Project Date Detail'!$B$2:$B$49,B$3)</x:f>
        <x:v>66650358</x:v>
      </x:c>
      <x:c r="C14" s="23" t="n">
        <x:f>SUMIFS('Project Date Detail'!$J$2:$J$49,'Project Date Detail'!$A$2:$A$49,$A14,'Project Date Detail'!$B$2:$B$49,C$3)</x:f>
        <x:v>5559949</x:v>
      </x:c>
      <x:c r="D14" s="23" t="n">
        <x:f>SUMIFS('Project Date Detail'!$J$2:$J$49,'Project Date Detail'!$A$2:$A$49,$A14,'Project Date Detail'!$B$2:$B$49,D$3)</x:f>
        <x:v>0</x:v>
      </x:c>
      <x:c r="E14" s="23" t="n">
        <x:f>SUMIFS('Project Date Detail'!$J$2:$J$49,'Project Date Detail'!$A$2:$A$49,$A14,'Project Date Detail'!$B$2:$B$49,E$3)</x:f>
        <x:v>0</x:v>
      </x:c>
      <x:c r="F14" s="23" t="n">
        <x:f>SUMIFS('Project Date Detail'!$J$2:$J$49,'Project Date Detail'!$A$2:$A$49,$A14,'Project Date Detail'!$B$2:$B$49,F$3)</x:f>
        <x:v>0</x:v>
      </x:c>
      <x:c r="G14" s="23" t="n">
        <x:f>SUMIFS('Project Date Detail'!$J$2:$J$49,'Project Date Detail'!$A$2:$A$49,$A14,'Project Date Detail'!$B$2:$B$49,G$3)</x:f>
        <x:v>0</x:v>
      </x:c>
      <x:c r="H14" s="23" t="n">
        <x:f>SUMIFS('Project Date Detail'!$J$2:$J$49,'Project Date Detail'!$A$2:$A$49,$A14,'Project Date Detail'!$B$2:$B$49,H$3)</x:f>
        <x:v>3682509</x:v>
      </x:c>
      <x:c r="I14" s="23" t="n">
        <x:f>SUMIFS('Project Date Detail'!$J$2:$J$49,'Project Date Detail'!$A$2:$A$49,$A14,'Project Date Detail'!$B$2:$B$49,I$3)</x:f>
        <x:v>0</x:v>
      </x:c>
      <x:c r="J14" s="23" t="n">
        <x:f>SUMIFS('Project Date Detail'!$J$2:$J$49,'Project Date Detail'!$A$2:$A$49,$A14,'Project Date Detail'!$B$2:$B$49,J$3)</x:f>
        <x:v>0</x:v>
      </x:c>
      <x:c r="K14" s="23" t="n">
        <x:f>SUMIFS('Project Date Detail'!$J$2:$J$49,'Project Date Detail'!$A$2:$A$49,$A14,'Project Date Detail'!$B$2:$B$49,K$3)</x:f>
        <x:v>0</x:v>
      </x:c>
      <x:c r="L14" s="23" t="n">
        <x:f>SUMIFS('Project Date Detail'!$J$2:$J$49,'Project Date Detail'!$A$2:$A$49,$A14,'Project Date Detail'!$B$2:$B$49,L$3)</x:f>
        <x:v>0</x:v>
      </x:c>
      <x:c r="M14" s="23" t="n">
        <x:f>SUMIFS('Project Date Detail'!$J$2:$J$49,'Project Date Detail'!$A$2:$A$49,$A14,'Project Date Detail'!$B$2:$B$49,M$3)</x:f>
        <x:v>0</x:v>
      </x:c>
      <x:c r="N14" s="23" t="n">
        <x:f>SUMIFS('Project Date Detail'!$J$2:$J$49,'Project Date Detail'!$A$2:$A$49,$A14,'Project Date Detail'!$B$2:$B$49,N$3)</x:f>
        <x:v>0</x:v>
      </x:c>
      <x:c r="O14" s="23" t="n">
        <x:f>SUMIFS('Project Date Detail'!$J$2:$J$49,'Project Date Detail'!$A$2:$A$49,$A14,'Project Date Detail'!$B$2:$B$49,O$3)</x:f>
        <x:v>345611</x:v>
      </x:c>
      <x:c r="P14" s="23" t="n">
        <x:f>SUMIFS('Project Date Detail'!$J$2:$J$49,'Project Date Detail'!$A$2:$A$49,$A14,'Project Date Detail'!$B$2:$B$49,P$3)</x:f>
        <x:v>0</x:v>
      </x:c>
      <x:c r="Q14" s="24" t="n">
        <x:f>SUMIFS('Project Date Detail'!$J$2:$J$49,'Project Date Detail'!$A$2:$A$49,$A14,'Project Date Detail'!$B$2:$B$49,Q$3)</x:f>
        <x:v>0</x:v>
      </x:c>
    </x:row>
    <x:row r="15">
      <x:c r="A15" s="22" t="n">
        <x:v>46196</x:v>
      </x:c>
      <x:c r="B15" s="23" t="n">
        <x:f>SUMIFS('Project Date Detail'!$J$2:$J$49,'Project Date Detail'!$A$2:$A$49,$A15,'Project Date Detail'!$B$2:$B$49,B$3)</x:f>
        <x:v>115894400</x:v>
      </x:c>
      <x:c r="C15" s="23" t="n">
        <x:f>SUMIFS('Project Date Detail'!$J$2:$J$49,'Project Date Detail'!$A$2:$A$49,$A15,'Project Date Detail'!$B$2:$B$49,C$3)</x:f>
        <x:v>25769794</x:v>
      </x:c>
      <x:c r="D15" s="23" t="n">
        <x:f>SUMIFS('Project Date Detail'!$J$2:$J$49,'Project Date Detail'!$A$2:$A$49,$A15,'Project Date Detail'!$B$2:$B$49,D$3)</x:f>
        <x:v>0</x:v>
      </x:c>
      <x:c r="E15" s="23" t="n">
        <x:f>SUMIFS('Project Date Detail'!$J$2:$J$49,'Project Date Detail'!$A$2:$A$49,$A15,'Project Date Detail'!$B$2:$B$49,E$3)</x:f>
        <x:v>0</x:v>
      </x:c>
      <x:c r="F15" s="23" t="n">
        <x:f>SUMIFS('Project Date Detail'!$J$2:$J$49,'Project Date Detail'!$A$2:$A$49,$A15,'Project Date Detail'!$B$2:$B$49,F$3)</x:f>
        <x:v>0</x:v>
      </x:c>
      <x:c r="G15" s="23" t="n">
        <x:f>SUMIFS('Project Date Detail'!$J$2:$J$49,'Project Date Detail'!$A$2:$A$49,$A15,'Project Date Detail'!$B$2:$B$49,G$3)</x:f>
        <x:v>0</x:v>
      </x:c>
      <x:c r="H15" s="23" t="n">
        <x:f>SUMIFS('Project Date Detail'!$J$2:$J$49,'Project Date Detail'!$A$2:$A$49,$A15,'Project Date Detail'!$B$2:$B$49,H$3)</x:f>
        <x:v>0</x:v>
      </x:c>
      <x:c r="I15" s="23" t="n">
        <x:f>SUMIFS('Project Date Detail'!$J$2:$J$49,'Project Date Detail'!$A$2:$A$49,$A15,'Project Date Detail'!$B$2:$B$49,I$3)</x:f>
        <x:v>2571738</x:v>
      </x:c>
      <x:c r="J15" s="23" t="n">
        <x:f>SUMIFS('Project Date Detail'!$J$2:$J$49,'Project Date Detail'!$A$2:$A$49,$A15,'Project Date Detail'!$B$2:$B$49,J$3)</x:f>
        <x:v>0</x:v>
      </x:c>
      <x:c r="K15" s="23" t="n">
        <x:f>SUMIFS('Project Date Detail'!$J$2:$J$49,'Project Date Detail'!$A$2:$A$49,$A15,'Project Date Detail'!$B$2:$B$49,K$3)</x:f>
        <x:v>0</x:v>
      </x:c>
      <x:c r="L15" s="23" t="n">
        <x:f>SUMIFS('Project Date Detail'!$J$2:$J$49,'Project Date Detail'!$A$2:$A$49,$A15,'Project Date Detail'!$B$2:$B$49,L$3)</x:f>
        <x:v>705377</x:v>
      </x:c>
      <x:c r="M15" s="23" t="n">
        <x:f>SUMIFS('Project Date Detail'!$J$2:$J$49,'Project Date Detail'!$A$2:$A$49,$A15,'Project Date Detail'!$B$2:$B$49,M$3)</x:f>
        <x:v>0</x:v>
      </x:c>
      <x:c r="N15" s="23" t="n">
        <x:f>SUMIFS('Project Date Detail'!$J$2:$J$49,'Project Date Detail'!$A$2:$A$49,$A15,'Project Date Detail'!$B$2:$B$49,N$3)</x:f>
        <x:v>65855</x:v>
      </x:c>
      <x:c r="O15" s="23" t="n">
        <x:f>SUMIFS('Project Date Detail'!$J$2:$J$49,'Project Date Detail'!$A$2:$A$49,$A15,'Project Date Detail'!$B$2:$B$49,O$3)</x:f>
        <x:v>0</x:v>
      </x:c>
      <x:c r="P15" s="23" t="n">
        <x:f>SUMIFS('Project Date Detail'!$J$2:$J$49,'Project Date Detail'!$A$2:$A$49,$A15,'Project Date Detail'!$B$2:$B$49,P$3)</x:f>
        <x:v>0</x:v>
      </x:c>
      <x:c r="Q15" s="24" t="n">
        <x:f>SUMIFS('Project Date Detail'!$J$2:$J$49,'Project Date Detail'!$A$2:$A$49,$A15,'Project Date Detail'!$B$2:$B$49,Q$3)</x:f>
        <x:v>0</x:v>
      </x:c>
    </x:row>
    <x:row r="16">
      <x:c r="A16" s="22" t="n">
        <x:v>46197</x:v>
      </x:c>
      <x:c r="B16" s="23" t="n">
        <x:f>SUMIFS('Project Date Detail'!$J$2:$J$49,'Project Date Detail'!$A$2:$A$49,$A16,'Project Date Detail'!$B$2:$B$49,B$3)</x:f>
        <x:v>18818000</x:v>
      </x:c>
      <x:c r="C16" s="23" t="n">
        <x:f>SUMIFS('Project Date Detail'!$J$2:$J$49,'Project Date Detail'!$A$2:$A$49,$A16,'Project Date Detail'!$B$2:$B$49,C$3)</x:f>
        <x:v>0</x:v>
      </x:c>
      <x:c r="D16" s="23" t="n">
        <x:f>SUMIFS('Project Date Detail'!$J$2:$J$49,'Project Date Detail'!$A$2:$A$49,$A16,'Project Date Detail'!$B$2:$B$49,D$3)</x:f>
        <x:v>0</x:v>
      </x:c>
      <x:c r="E16" s="23" t="n">
        <x:f>SUMIFS('Project Date Detail'!$J$2:$J$49,'Project Date Detail'!$A$2:$A$49,$A16,'Project Date Detail'!$B$2:$B$49,E$3)</x:f>
        <x:v>0</x:v>
      </x:c>
      <x:c r="F16" s="23" t="n">
        <x:f>SUMIFS('Project Date Detail'!$J$2:$J$49,'Project Date Detail'!$A$2:$A$49,$A16,'Project Date Detail'!$B$2:$B$49,F$3)</x:f>
        <x:v>14279230</x:v>
      </x:c>
      <x:c r="G16" s="23" t="n">
        <x:f>SUMIFS('Project Date Detail'!$J$2:$J$49,'Project Date Detail'!$A$2:$A$49,$A16,'Project Date Detail'!$B$2:$B$49,G$3)</x:f>
        <x:v>7668232</x:v>
      </x:c>
      <x:c r="H16" s="23" t="n">
        <x:f>SUMIFS('Project Date Detail'!$J$2:$J$49,'Project Date Detail'!$A$2:$A$49,$A16,'Project Date Detail'!$B$2:$B$49,H$3)</x:f>
        <x:v>0</x:v>
      </x:c>
      <x:c r="I16" s="23" t="n">
        <x:f>SUMIFS('Project Date Detail'!$J$2:$J$49,'Project Date Detail'!$A$2:$A$49,$A16,'Project Date Detail'!$B$2:$B$49,I$3)</x:f>
        <x:v>0</x:v>
      </x:c>
      <x:c r="J16" s="23" t="n">
        <x:f>SUMIFS('Project Date Detail'!$J$2:$J$49,'Project Date Detail'!$A$2:$A$49,$A16,'Project Date Detail'!$B$2:$B$49,J$3)</x:f>
        <x:v>0</x:v>
      </x:c>
      <x:c r="K16" s="23" t="n">
        <x:f>SUMIFS('Project Date Detail'!$J$2:$J$49,'Project Date Detail'!$A$2:$A$49,$A16,'Project Date Detail'!$B$2:$B$49,K$3)</x:f>
        <x:v>0</x:v>
      </x:c>
      <x:c r="L16" s="23" t="n">
        <x:f>SUMIFS('Project Date Detail'!$J$2:$J$49,'Project Date Detail'!$A$2:$A$49,$A16,'Project Date Detail'!$B$2:$B$49,L$3)</x:f>
        <x:v>0</x:v>
      </x:c>
      <x:c r="M16" s="23" t="n">
        <x:f>SUMIFS('Project Date Detail'!$J$2:$J$49,'Project Date Detail'!$A$2:$A$49,$A16,'Project Date Detail'!$B$2:$B$49,M$3)</x:f>
        <x:v>0</x:v>
      </x:c>
      <x:c r="N16" s="23" t="n">
        <x:f>SUMIFS('Project Date Detail'!$J$2:$J$49,'Project Date Detail'!$A$2:$A$49,$A16,'Project Date Detail'!$B$2:$B$49,N$3)</x:f>
        <x:v>100033</x:v>
      </x:c>
      <x:c r="O16" s="23" t="n">
        <x:f>SUMIFS('Project Date Detail'!$J$2:$J$49,'Project Date Detail'!$A$2:$A$49,$A16,'Project Date Detail'!$B$2:$B$49,O$3)</x:f>
        <x:v>0</x:v>
      </x:c>
      <x:c r="P16" s="23" t="n">
        <x:f>SUMIFS('Project Date Detail'!$J$2:$J$49,'Project Date Detail'!$A$2:$A$49,$A16,'Project Date Detail'!$B$2:$B$49,P$3)</x:f>
        <x:v>0</x:v>
      </x:c>
      <x:c r="Q16" s="24" t="n">
        <x:f>SUMIFS('Project Date Detail'!$J$2:$J$49,'Project Date Detail'!$A$2:$A$49,$A16,'Project Date Detail'!$B$2:$B$49,Q$3)</x:f>
        <x:v>0</x:v>
      </x:c>
    </x:row>
    <x:row r="17">
      <x:c r="A17" s="22" t="n">
        <x:v>46198</x:v>
      </x:c>
      <x:c r="B17" s="23" t="n">
        <x:f>SUMIFS('Project Date Detail'!$J$2:$J$49,'Project Date Detail'!$A$2:$A$49,$A17,'Project Date Detail'!$B$2:$B$49,B$3)</x:f>
        <x:v>35962499</x:v>
      </x:c>
      <x:c r="C17" s="23" t="n">
        <x:f>SUMIFS('Project Date Detail'!$J$2:$J$49,'Project Date Detail'!$A$2:$A$49,$A17,'Project Date Detail'!$B$2:$B$49,C$3)</x:f>
        <x:v>0</x:v>
      </x:c>
      <x:c r="D17" s="23" t="n">
        <x:f>SUMIFS('Project Date Detail'!$J$2:$J$49,'Project Date Detail'!$A$2:$A$49,$A17,'Project Date Detail'!$B$2:$B$49,D$3)</x:f>
        <x:v>0</x:v>
      </x:c>
      <x:c r="E17" s="23" t="n">
        <x:f>SUMIFS('Project Date Detail'!$J$2:$J$49,'Project Date Detail'!$A$2:$A$49,$A17,'Project Date Detail'!$B$2:$B$49,E$3)</x:f>
        <x:v>4118272</x:v>
      </x:c>
      <x:c r="F17" s="23" t="n">
        <x:f>SUMIFS('Project Date Detail'!$J$2:$J$49,'Project Date Detail'!$A$2:$A$49,$A17,'Project Date Detail'!$B$2:$B$49,F$3)</x:f>
        <x:v>0</x:v>
      </x:c>
      <x:c r="G17" s="23" t="n">
        <x:f>SUMIFS('Project Date Detail'!$J$2:$J$49,'Project Date Detail'!$A$2:$A$49,$A17,'Project Date Detail'!$B$2:$B$49,G$3)</x:f>
        <x:v>0</x:v>
      </x:c>
      <x:c r="H17" s="23" t="n">
        <x:f>SUMIFS('Project Date Detail'!$J$2:$J$49,'Project Date Detail'!$A$2:$A$49,$A17,'Project Date Detail'!$B$2:$B$49,H$3)</x:f>
        <x:v>0</x:v>
      </x:c>
      <x:c r="I17" s="23" t="n">
        <x:f>SUMIFS('Project Date Detail'!$J$2:$J$49,'Project Date Detail'!$A$2:$A$49,$A17,'Project Date Detail'!$B$2:$B$49,I$3)</x:f>
        <x:v>0</x:v>
      </x:c>
      <x:c r="J17" s="23" t="n">
        <x:f>SUMIFS('Project Date Detail'!$J$2:$J$49,'Project Date Detail'!$A$2:$A$49,$A17,'Project Date Detail'!$B$2:$B$49,J$3)</x:f>
        <x:v>0</x:v>
      </x:c>
      <x:c r="K17" s="23" t="n">
        <x:f>SUMIFS('Project Date Detail'!$J$2:$J$49,'Project Date Detail'!$A$2:$A$49,$A17,'Project Date Detail'!$B$2:$B$49,K$3)</x:f>
        <x:v>0</x:v>
      </x:c>
      <x:c r="L17" s="23" t="n">
        <x:f>SUMIFS('Project Date Detail'!$J$2:$J$49,'Project Date Detail'!$A$2:$A$49,$A17,'Project Date Detail'!$B$2:$B$49,L$3)</x:f>
        <x:v>0</x:v>
      </x:c>
      <x:c r="M17" s="23" t="n">
        <x:f>SUMIFS('Project Date Detail'!$J$2:$J$49,'Project Date Detail'!$A$2:$A$49,$A17,'Project Date Detail'!$B$2:$B$49,M$3)</x:f>
        <x:v>0</x:v>
      </x:c>
      <x:c r="N17" s="23" t="n">
        <x:f>SUMIFS('Project Date Detail'!$J$2:$J$49,'Project Date Detail'!$A$2:$A$49,$A17,'Project Date Detail'!$B$2:$B$49,N$3)</x:f>
        <x:v>0</x:v>
      </x:c>
      <x:c r="O17" s="23" t="n">
        <x:f>SUMIFS('Project Date Detail'!$J$2:$J$49,'Project Date Detail'!$A$2:$A$49,$A17,'Project Date Detail'!$B$2:$B$49,O$3)</x:f>
        <x:v>0</x:v>
      </x:c>
      <x:c r="P17" s="23" t="n">
        <x:f>SUMIFS('Project Date Detail'!$J$2:$J$49,'Project Date Detail'!$A$2:$A$49,$A17,'Project Date Detail'!$B$2:$B$49,P$3)</x:f>
        <x:v>0</x:v>
      </x:c>
      <x:c r="Q17" s="24" t="n">
        <x:f>SUMIFS('Project Date Detail'!$J$2:$J$49,'Project Date Detail'!$A$2:$A$49,$A17,'Project Date Detail'!$B$2:$B$49,Q$3)</x:f>
        <x:v>0</x:v>
      </x:c>
    </x:row>
    <x:row r="18">
      <x:c r="A18" s="22" t="n">
        <x:v>46199</x:v>
      </x:c>
      <x:c r="B18" s="23" t="n">
        <x:f>SUMIFS('Project Date Detail'!$J$2:$J$49,'Project Date Detail'!$A$2:$A$49,$A18,'Project Date Detail'!$B$2:$B$49,B$3)</x:f>
        <x:v>13799411</x:v>
      </x:c>
      <x:c r="C18" s="23" t="n">
        <x:f>SUMIFS('Project Date Detail'!$J$2:$J$49,'Project Date Detail'!$A$2:$A$49,$A18,'Project Date Detail'!$B$2:$B$49,C$3)</x:f>
        <x:v>0</x:v>
      </x:c>
      <x:c r="D18" s="23" t="n">
        <x:f>SUMIFS('Project Date Detail'!$J$2:$J$49,'Project Date Detail'!$A$2:$A$49,$A18,'Project Date Detail'!$B$2:$B$49,D$3)</x:f>
        <x:v>0</x:v>
      </x:c>
      <x:c r="E18" s="23" t="n">
        <x:f>SUMIFS('Project Date Detail'!$J$2:$J$49,'Project Date Detail'!$A$2:$A$49,$A18,'Project Date Detail'!$B$2:$B$49,E$3)</x:f>
        <x:v>0</x:v>
      </x:c>
      <x:c r="F18" s="23" t="n">
        <x:f>SUMIFS('Project Date Detail'!$J$2:$J$49,'Project Date Detail'!$A$2:$A$49,$A18,'Project Date Detail'!$B$2:$B$49,F$3)</x:f>
        <x:v>0</x:v>
      </x:c>
      <x:c r="G18" s="23" t="n">
        <x:f>SUMIFS('Project Date Detail'!$J$2:$J$49,'Project Date Detail'!$A$2:$A$49,$A18,'Project Date Detail'!$B$2:$B$49,G$3)</x:f>
        <x:v>0</x:v>
      </x:c>
      <x:c r="H18" s="23" t="n">
        <x:f>SUMIFS('Project Date Detail'!$J$2:$J$49,'Project Date Detail'!$A$2:$A$49,$A18,'Project Date Detail'!$B$2:$B$49,H$3)</x:f>
        <x:v>0</x:v>
      </x:c>
      <x:c r="I18" s="23" t="n">
        <x:f>SUMIFS('Project Date Detail'!$J$2:$J$49,'Project Date Detail'!$A$2:$A$49,$A18,'Project Date Detail'!$B$2:$B$49,I$3)</x:f>
        <x:v>0</x:v>
      </x:c>
      <x:c r="J18" s="23" t="n">
        <x:f>SUMIFS('Project Date Detail'!$J$2:$J$49,'Project Date Detail'!$A$2:$A$49,$A18,'Project Date Detail'!$B$2:$B$49,J$3)</x:f>
        <x:v>1077368</x:v>
      </x:c>
      <x:c r="K18" s="23" t="n">
        <x:f>SUMIFS('Project Date Detail'!$J$2:$J$49,'Project Date Detail'!$A$2:$A$49,$A18,'Project Date Detail'!$B$2:$B$49,K$3)</x:f>
        <x:v>0</x:v>
      </x:c>
      <x:c r="L18" s="23" t="n">
        <x:f>SUMIFS('Project Date Detail'!$J$2:$J$49,'Project Date Detail'!$A$2:$A$49,$A18,'Project Date Detail'!$B$2:$B$49,L$3)</x:f>
        <x:v>0</x:v>
      </x:c>
      <x:c r="M18" s="23" t="n">
        <x:f>SUMIFS('Project Date Detail'!$J$2:$J$49,'Project Date Detail'!$A$2:$A$49,$A18,'Project Date Detail'!$B$2:$B$49,M$3)</x:f>
        <x:v>0</x:v>
      </x:c>
      <x:c r="N18" s="23" t="n">
        <x:f>SUMIFS('Project Date Detail'!$J$2:$J$49,'Project Date Detail'!$A$2:$A$49,$A18,'Project Date Detail'!$B$2:$B$49,N$3)</x:f>
        <x:v>0</x:v>
      </x:c>
      <x:c r="O18" s="23" t="n">
        <x:f>SUMIFS('Project Date Detail'!$J$2:$J$49,'Project Date Detail'!$A$2:$A$49,$A18,'Project Date Detail'!$B$2:$B$49,O$3)</x:f>
        <x:v>0</x:v>
      </x:c>
      <x:c r="P18" s="23" t="n">
        <x:f>SUMIFS('Project Date Detail'!$J$2:$J$49,'Project Date Detail'!$A$2:$A$49,$A18,'Project Date Detail'!$B$2:$B$49,P$3)</x:f>
        <x:v>0</x:v>
      </x:c>
      <x:c r="Q18" s="24" t="n">
        <x:f>SUMIFS('Project Date Detail'!$J$2:$J$49,'Project Date Detail'!$A$2:$A$49,$A18,'Project Date Detail'!$B$2:$B$49,Q$3)</x:f>
        <x:v>0</x:v>
      </x:c>
    </x:row>
    <x:row r="19">
      <x:c r="A19" s="22" t="n">
        <x:v>46202</x:v>
      </x:c>
      <x:c r="B19" s="23" t="n">
        <x:f>SUMIFS('Project Date Detail'!$J$2:$J$49,'Project Date Detail'!$A$2:$A$49,$A19,'Project Date Detail'!$B$2:$B$49,B$3)</x:f>
        <x:v>47134887</x:v>
      </x:c>
      <x:c r="C19" s="23" t="n">
        <x:f>SUMIFS('Project Date Detail'!$J$2:$J$49,'Project Date Detail'!$A$2:$A$49,$A19,'Project Date Detail'!$B$2:$B$49,C$3)</x:f>
        <x:v>0</x:v>
      </x:c>
      <x:c r="D19" s="23" t="n">
        <x:f>SUMIFS('Project Date Detail'!$J$2:$J$49,'Project Date Detail'!$A$2:$A$49,$A19,'Project Date Detail'!$B$2:$B$49,D$3)</x:f>
        <x:v>0</x:v>
      </x:c>
      <x:c r="E19" s="23" t="n">
        <x:f>SUMIFS('Project Date Detail'!$J$2:$J$49,'Project Date Detail'!$A$2:$A$49,$A19,'Project Date Detail'!$B$2:$B$49,E$3)</x:f>
        <x:v>0</x:v>
      </x:c>
      <x:c r="F19" s="23" t="n">
        <x:f>SUMIFS('Project Date Detail'!$J$2:$J$49,'Project Date Detail'!$A$2:$A$49,$A19,'Project Date Detail'!$B$2:$B$49,F$3)</x:f>
        <x:v>0</x:v>
      </x:c>
      <x:c r="G19" s="23" t="n">
        <x:f>SUMIFS('Project Date Detail'!$J$2:$J$49,'Project Date Detail'!$A$2:$A$49,$A19,'Project Date Detail'!$B$2:$B$49,G$3)</x:f>
        <x:v>0</x:v>
      </x:c>
      <x:c r="H19" s="23" t="n">
        <x:f>SUMIFS('Project Date Detail'!$J$2:$J$49,'Project Date Detail'!$A$2:$A$49,$A19,'Project Date Detail'!$B$2:$B$49,H$3)</x:f>
        <x:v>0</x:v>
      </x:c>
      <x:c r="I19" s="23" t="n">
        <x:f>SUMIFS('Project Date Detail'!$J$2:$J$49,'Project Date Detail'!$A$2:$A$49,$A19,'Project Date Detail'!$B$2:$B$49,I$3)</x:f>
        <x:v>0</x:v>
      </x:c>
      <x:c r="J19" s="23" t="n">
        <x:f>SUMIFS('Project Date Detail'!$J$2:$J$49,'Project Date Detail'!$A$2:$A$49,$A19,'Project Date Detail'!$B$2:$B$49,J$3)</x:f>
        <x:v>0</x:v>
      </x:c>
      <x:c r="K19" s="23" t="n">
        <x:f>SUMIFS('Project Date Detail'!$J$2:$J$49,'Project Date Detail'!$A$2:$A$49,$A19,'Project Date Detail'!$B$2:$B$49,K$3)</x:f>
        <x:v>0</x:v>
      </x:c>
      <x:c r="L19" s="23" t="n">
        <x:f>SUMIFS('Project Date Detail'!$J$2:$J$49,'Project Date Detail'!$A$2:$A$49,$A19,'Project Date Detail'!$B$2:$B$49,L$3)</x:f>
        <x:v>0</x:v>
      </x:c>
      <x:c r="M19" s="23" t="n">
        <x:f>SUMIFS('Project Date Detail'!$J$2:$J$49,'Project Date Detail'!$A$2:$A$49,$A19,'Project Date Detail'!$B$2:$B$49,M$3)</x:f>
        <x:v>0</x:v>
      </x:c>
      <x:c r="N19" s="23" t="n">
        <x:f>SUMIFS('Project Date Detail'!$J$2:$J$49,'Project Date Detail'!$A$2:$A$49,$A19,'Project Date Detail'!$B$2:$B$49,N$3)</x:f>
        <x:v>0</x:v>
      </x:c>
      <x:c r="O19" s="23" t="n">
        <x:f>SUMIFS('Project Date Detail'!$J$2:$J$49,'Project Date Detail'!$A$2:$A$49,$A19,'Project Date Detail'!$B$2:$B$49,O$3)</x:f>
        <x:v>0</x:v>
      </x:c>
      <x:c r="P19" s="23" t="n">
        <x:f>SUMIFS('Project Date Detail'!$J$2:$J$49,'Project Date Detail'!$A$2:$A$49,$A19,'Project Date Detail'!$B$2:$B$49,P$3)</x:f>
        <x:v>0</x:v>
      </x:c>
      <x:c r="Q19" s="24" t="n">
        <x:f>SUMIFS('Project Date Detail'!$J$2:$J$49,'Project Date Detail'!$A$2:$A$49,$A19,'Project Date Detail'!$B$2:$B$49,Q$3)</x:f>
        <x:v>0</x:v>
      </x:c>
    </x:row>
    <x:row r="20">
      <x:c r="A20" s="22" t="n">
        <x:v>46203</x:v>
      </x:c>
      <x:c r="B20" s="23" t="n">
        <x:f>SUMIFS('Project Date Detail'!$J$2:$J$49,'Project Date Detail'!$A$2:$A$49,$A20,'Project Date Detail'!$B$2:$B$49,B$3)</x:f>
        <x:v>2587306</x:v>
      </x:c>
      <x:c r="C20" s="23" t="n">
        <x:f>SUMIFS('Project Date Detail'!$J$2:$J$49,'Project Date Detail'!$A$2:$A$49,$A20,'Project Date Detail'!$B$2:$B$49,C$3)</x:f>
        <x:v>0</x:v>
      </x:c>
      <x:c r="D20" s="23" t="n">
        <x:f>SUMIFS('Project Date Detail'!$J$2:$J$49,'Project Date Detail'!$A$2:$A$49,$A20,'Project Date Detail'!$B$2:$B$49,D$3)</x:f>
        <x:v>0</x:v>
      </x:c>
      <x:c r="E20" s="23" t="n">
        <x:f>SUMIFS('Project Date Detail'!$J$2:$J$49,'Project Date Detail'!$A$2:$A$49,$A20,'Project Date Detail'!$B$2:$B$49,E$3)</x:f>
        <x:v>0</x:v>
      </x:c>
      <x:c r="F20" s="23" t="n">
        <x:f>SUMIFS('Project Date Detail'!$J$2:$J$49,'Project Date Detail'!$A$2:$A$49,$A20,'Project Date Detail'!$B$2:$B$49,F$3)</x:f>
        <x:v>0</x:v>
      </x:c>
      <x:c r="G20" s="23" t="n">
        <x:f>SUMIFS('Project Date Detail'!$J$2:$J$49,'Project Date Detail'!$A$2:$A$49,$A20,'Project Date Detail'!$B$2:$B$49,G$3)</x:f>
        <x:v>0</x:v>
      </x:c>
      <x:c r="H20" s="23" t="n">
        <x:f>SUMIFS('Project Date Detail'!$J$2:$J$49,'Project Date Detail'!$A$2:$A$49,$A20,'Project Date Detail'!$B$2:$B$49,H$3)</x:f>
        <x:v>0</x:v>
      </x:c>
      <x:c r="I20" s="23" t="n">
        <x:f>SUMIFS('Project Date Detail'!$J$2:$J$49,'Project Date Detail'!$A$2:$A$49,$A20,'Project Date Detail'!$B$2:$B$49,I$3)</x:f>
        <x:v>0</x:v>
      </x:c>
      <x:c r="J20" s="23" t="n">
        <x:f>SUMIFS('Project Date Detail'!$J$2:$J$49,'Project Date Detail'!$A$2:$A$49,$A20,'Project Date Detail'!$B$2:$B$49,J$3)</x:f>
        <x:v>0</x:v>
      </x:c>
      <x:c r="K20" s="23" t="n">
        <x:f>SUMIFS('Project Date Detail'!$J$2:$J$49,'Project Date Detail'!$A$2:$A$49,$A20,'Project Date Detail'!$B$2:$B$49,K$3)</x:f>
        <x:v>0</x:v>
      </x:c>
      <x:c r="L20" s="23" t="n">
        <x:f>SUMIFS('Project Date Detail'!$J$2:$J$49,'Project Date Detail'!$A$2:$A$49,$A20,'Project Date Detail'!$B$2:$B$49,L$3)</x:f>
        <x:v>0</x:v>
      </x:c>
      <x:c r="M20" s="23" t="n">
        <x:f>SUMIFS('Project Date Detail'!$J$2:$J$49,'Project Date Detail'!$A$2:$A$49,$A20,'Project Date Detail'!$B$2:$B$49,M$3)</x:f>
        <x:v>0</x:v>
      </x:c>
      <x:c r="N20" s="23" t="n">
        <x:f>SUMIFS('Project Date Detail'!$J$2:$J$49,'Project Date Detail'!$A$2:$A$49,$A20,'Project Date Detail'!$B$2:$B$49,N$3)</x:f>
        <x:v>0</x:v>
      </x:c>
      <x:c r="O20" s="23" t="n">
        <x:f>SUMIFS('Project Date Detail'!$J$2:$J$49,'Project Date Detail'!$A$2:$A$49,$A20,'Project Date Detail'!$B$2:$B$49,O$3)</x:f>
        <x:v>0</x:v>
      </x:c>
      <x:c r="P20" s="23" t="n">
        <x:f>SUMIFS('Project Date Detail'!$J$2:$J$49,'Project Date Detail'!$A$2:$A$49,$A20,'Project Date Detail'!$B$2:$B$49,P$3)</x:f>
        <x:v>0</x:v>
      </x:c>
      <x:c r="Q20" s="24" t="n">
        <x:f>SUMIFS('Project Date Detail'!$J$2:$J$49,'Project Date Detail'!$A$2:$A$49,$A20,'Project Date Detail'!$B$2:$B$49,Q$3)</x:f>
        <x:v>0</x:v>
      </x:c>
    </x:row>
    <x:row r="21">
      <x:c r="A21" s="25" t="n">
        <x:v>46204</x:v>
      </x:c>
      <x:c r="B21" s="26" t="n">
        <x:f>SUMIFS('Project Date Detail'!$J$2:$J$49,'Project Date Detail'!$A$2:$A$49,$A21,'Project Date Detail'!$B$2:$B$49,B$3)</x:f>
        <x:v>27739378</x:v>
      </x:c>
      <x:c r="C21" s="26" t="n">
        <x:f>SUMIFS('Project Date Detail'!$J$2:$J$49,'Project Date Detail'!$A$2:$A$49,$A21,'Project Date Detail'!$B$2:$B$49,C$3)</x:f>
        <x:v>1289140</x:v>
      </x:c>
      <x:c r="D21" s="26" t="n">
        <x:f>SUMIFS('Project Date Detail'!$J$2:$J$49,'Project Date Detail'!$A$2:$A$49,$A21,'Project Date Detail'!$B$2:$B$49,D$3)</x:f>
        <x:v>0</x:v>
      </x:c>
      <x:c r="E21" s="26" t="n">
        <x:f>SUMIFS('Project Date Detail'!$J$2:$J$49,'Project Date Detail'!$A$2:$A$49,$A21,'Project Date Detail'!$B$2:$B$49,E$3)</x:f>
        <x:v>0</x:v>
      </x:c>
      <x:c r="F21" s="26" t="n">
        <x:f>SUMIFS('Project Date Detail'!$J$2:$J$49,'Project Date Detail'!$A$2:$A$49,$A21,'Project Date Detail'!$B$2:$B$49,F$3)</x:f>
        <x:v>0</x:v>
      </x:c>
      <x:c r="G21" s="26" t="n">
        <x:f>SUMIFS('Project Date Detail'!$J$2:$J$49,'Project Date Detail'!$A$2:$A$49,$A21,'Project Date Detail'!$B$2:$B$49,G$3)</x:f>
        <x:v>0</x:v>
      </x:c>
      <x:c r="H21" s="26" t="n">
        <x:f>SUMIFS('Project Date Detail'!$J$2:$J$49,'Project Date Detail'!$A$2:$A$49,$A21,'Project Date Detail'!$B$2:$B$49,H$3)</x:f>
        <x:v>0</x:v>
      </x:c>
      <x:c r="I21" s="26" t="n">
        <x:f>SUMIFS('Project Date Detail'!$J$2:$J$49,'Project Date Detail'!$A$2:$A$49,$A21,'Project Date Detail'!$B$2:$B$49,I$3)</x:f>
        <x:v>0</x:v>
      </x:c>
      <x:c r="J21" s="26" t="n">
        <x:f>SUMIFS('Project Date Detail'!$J$2:$J$49,'Project Date Detail'!$A$2:$A$49,$A21,'Project Date Detail'!$B$2:$B$49,J$3)</x:f>
        <x:v>0</x:v>
      </x:c>
      <x:c r="K21" s="26" t="n">
        <x:f>SUMIFS('Project Date Detail'!$J$2:$J$49,'Project Date Detail'!$A$2:$A$49,$A21,'Project Date Detail'!$B$2:$B$49,K$3)</x:f>
        <x:v>0</x:v>
      </x:c>
      <x:c r="L21" s="26" t="n">
        <x:f>SUMIFS('Project Date Detail'!$J$2:$J$49,'Project Date Detail'!$A$2:$A$49,$A21,'Project Date Detail'!$B$2:$B$49,L$3)</x:f>
        <x:v>0</x:v>
      </x:c>
      <x:c r="M21" s="26" t="n">
        <x:f>SUMIFS('Project Date Detail'!$J$2:$J$49,'Project Date Detail'!$A$2:$A$49,$A21,'Project Date Detail'!$B$2:$B$49,M$3)</x:f>
        <x:v>0</x:v>
      </x:c>
      <x:c r="N21" s="26" t="n">
        <x:f>SUMIFS('Project Date Detail'!$J$2:$J$49,'Project Date Detail'!$A$2:$A$49,$A21,'Project Date Detail'!$B$2:$B$49,N$3)</x:f>
        <x:v>0</x:v>
      </x:c>
      <x:c r="O21" s="26" t="n">
        <x:f>SUMIFS('Project Date Detail'!$J$2:$J$49,'Project Date Detail'!$A$2:$A$49,$A21,'Project Date Detail'!$B$2:$B$49,O$3)</x:f>
        <x:v>0</x:v>
      </x:c>
      <x:c r="P21" s="26" t="n">
        <x:f>SUMIFS('Project Date Detail'!$J$2:$J$49,'Project Date Detail'!$A$2:$A$49,$A21,'Project Date Detail'!$B$2:$B$49,P$3)</x:f>
        <x:v>168865</x:v>
      </x:c>
      <x:c r="Q21" s="27" t="n">
        <x:f>SUMIFS('Project Date Detail'!$J$2:$J$49,'Project Date Detail'!$A$2:$A$49,$A21,'Project Date Detail'!$B$2:$B$49,Q$3)</x:f>
        <x:v>0</x:v>
      </x:c>
    </x:row>
  </x:sheetData>
  <x:mergeCells>
    <x:mergeCell ref="A1:R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5" t="str">
        <x:v>Daily Tokens by Project (Without Cache Read)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3">
      <x:c r="A3" s="19" t="str">
        <x:v>Date</x:v>
      </x:c>
      <x:c r="B3" s="20" t="str">
        <x:v>/Users/wepie/PieBox/Projects/untitled-mp59d9zjkqf6</x:v>
      </x:c>
      <x:c r="C3" s="20" t="str">
        <x:v>/Users/wepie/PieBox/Projects/untitled-mp59d9zjkqf6/assets/ugc-modes/modeGroupSnake</x:v>
      </x:c>
      <x:c r="D3" s="20" t="str">
        <x:v>/Users/wepie/PieBox/Projects/untitled-mp59d9zjkqf6/assets/ugc-modes/modeDaweidai</x:v>
      </x:c>
      <x:c r="E3" s="20" t="str">
        <x:v>/Users/wepie/PieBox/Projects/untitled-mp59d9zjkqf6/tools</x:v>
      </x:c>
      <x:c r="F3" s="20" t="str">
        <x:v>/Users/wepie/PieBox/files</x:v>
      </x:c>
      <x:c r="G3" s="20" t="str">
        <x:v>/Users/wepie/PieBox/files/Gaming</x:v>
      </x:c>
      <x:c r="H3" s="20" t="str">
        <x:v>/Users/wepie/PieBox/Projects/untitled-mp59d9zjkqf6/assets/ugc-modes</x:v>
      </x:c>
      <x:c r="I3" s="20" t="str">
        <x:v>/Users/wepie/PieBox/Projects/untitled-mp59d9zjkqf6/assets/ugc-modes/modeGroupSnake/res</x:v>
      </x:c>
      <x:c r="J3" s="20" t="str">
        <x:v>/Users/wepie/My project</x:v>
      </x:c>
      <x:c r="K3" s="20" t="str">
        <x:v>/Users/wepie/PieBox/Projects/untitled-mp59d9zjkqf6/assets/ugc-modes/modeDaweidai/config</x:v>
      </x:c>
      <x:c r="L3" s="20" t="str">
        <x:v>/Users/wepie/PieBox/Projects/untitled-mp59d9zjkqf6/assets/ugc-modes/modeGroupSnake/res/effect</x:v>
      </x:c>
      <x:c r="M3" s="20" t="str">
        <x:v>/Users/wepie/Desktop/QA</x:v>
      </x:c>
      <x:c r="N3" s="20" t="str">
        <x:v>/Users/wepie/workspace/snake-minigame</x:v>
      </x:c>
      <x:c r="O3" s="20" t="str">
        <x:v>/Users/wepie/PieBox/Projects/untitled-mp59d9zjkqf6/assets</x:v>
      </x:c>
      <x:c r="P3" s="20" t="str">
        <x:v>/Users/wepie/PieBox/Projects/untitled-mp59d9zjkqf6/assets/loading/script/webgl</x:v>
      </x:c>
      <x:c r="Q3" s="21" t="str">
        <x:v>/Users/wepie/shaderTest</x:v>
      </x:c>
    </x:row>
    <x:row r="4">
      <x:c r="A4" s="22" t="n">
        <x:v>46175</x:v>
      </x:c>
      <x:c r="B4" s="23" t="n">
        <x:f>SUMIFS('Project Date Detail'!$I$2:$I$49,'Project Date Detail'!$A$2:$A$49,$A4,'Project Date Detail'!$B$2:$B$49,B$3)</x:f>
        <x:v>147442</x:v>
      </x:c>
      <x:c r="C4" s="23" t="n">
        <x:f>SUMIFS('Project Date Detail'!$I$2:$I$49,'Project Date Detail'!$A$2:$A$49,$A4,'Project Date Detail'!$B$2:$B$49,C$3)</x:f>
        <x:v>0</x:v>
      </x:c>
      <x:c r="D4" s="23" t="n">
        <x:f>SUMIFS('Project Date Detail'!$I$2:$I$49,'Project Date Detail'!$A$2:$A$49,$A4,'Project Date Detail'!$B$2:$B$49,D$3)</x:f>
        <x:v>0</x:v>
      </x:c>
      <x:c r="E4" s="23" t="n">
        <x:f>SUMIFS('Project Date Detail'!$I$2:$I$49,'Project Date Detail'!$A$2:$A$49,$A4,'Project Date Detail'!$B$2:$B$49,E$3)</x:f>
        <x:v>0</x:v>
      </x:c>
      <x:c r="F4" s="23" t="n">
        <x:f>SUMIFS('Project Date Detail'!$I$2:$I$49,'Project Date Detail'!$A$2:$A$49,$A4,'Project Date Detail'!$B$2:$B$49,F$3)</x:f>
        <x:v>0</x:v>
      </x:c>
      <x:c r="G4" s="23" t="n">
        <x:f>SUMIFS('Project Date Detail'!$I$2:$I$49,'Project Date Detail'!$A$2:$A$49,$A4,'Project Date Detail'!$B$2:$B$49,G$3)</x:f>
        <x:v>0</x:v>
      </x:c>
      <x:c r="H4" s="23" t="n">
        <x:f>SUMIFS('Project Date Detail'!$I$2:$I$49,'Project Date Detail'!$A$2:$A$49,$A4,'Project Date Detail'!$B$2:$B$49,H$3)</x:f>
        <x:v>0</x:v>
      </x:c>
      <x:c r="I4" s="23" t="n">
        <x:f>SUMIFS('Project Date Detail'!$I$2:$I$49,'Project Date Detail'!$A$2:$A$49,$A4,'Project Date Detail'!$B$2:$B$49,I$3)</x:f>
        <x:v>0</x:v>
      </x:c>
      <x:c r="J4" s="23" t="n">
        <x:f>SUMIFS('Project Date Detail'!$I$2:$I$49,'Project Date Detail'!$A$2:$A$49,$A4,'Project Date Detail'!$B$2:$B$49,J$3)</x:f>
        <x:v>0</x:v>
      </x:c>
      <x:c r="K4" s="23" t="n">
        <x:f>SUMIFS('Project Date Detail'!$I$2:$I$49,'Project Date Detail'!$A$2:$A$49,$A4,'Project Date Detail'!$B$2:$B$49,K$3)</x:f>
        <x:v>0</x:v>
      </x:c>
      <x:c r="L4" s="23" t="n">
        <x:f>SUMIFS('Project Date Detail'!$I$2:$I$49,'Project Date Detail'!$A$2:$A$49,$A4,'Project Date Detail'!$B$2:$B$49,L$3)</x:f>
        <x:v>0</x:v>
      </x:c>
      <x:c r="M4" s="23" t="n">
        <x:f>SUMIFS('Project Date Detail'!$I$2:$I$49,'Project Date Detail'!$A$2:$A$49,$A4,'Project Date Detail'!$B$2:$B$49,M$3)</x:f>
        <x:v>0</x:v>
      </x:c>
      <x:c r="N4" s="23" t="n">
        <x:f>SUMIFS('Project Date Detail'!$I$2:$I$49,'Project Date Detail'!$A$2:$A$49,$A4,'Project Date Detail'!$B$2:$B$49,N$3)</x:f>
        <x:v>0</x:v>
      </x:c>
      <x:c r="O4" s="23" t="n">
        <x:f>SUMIFS('Project Date Detail'!$I$2:$I$49,'Project Date Detail'!$A$2:$A$49,$A4,'Project Date Detail'!$B$2:$B$49,O$3)</x:f>
        <x:v>0</x:v>
      </x:c>
      <x:c r="P4" s="23" t="n">
        <x:f>SUMIFS('Project Date Detail'!$I$2:$I$49,'Project Date Detail'!$A$2:$A$49,$A4,'Project Date Detail'!$B$2:$B$49,P$3)</x:f>
        <x:v>0</x:v>
      </x:c>
      <x:c r="Q4" s="24" t="n">
        <x:f>SUMIFS('Project Date Detail'!$I$2:$I$49,'Project Date Detail'!$A$2:$A$49,$A4,'Project Date Detail'!$B$2:$B$49,Q$3)</x:f>
        <x:v>0</x:v>
      </x:c>
    </x:row>
    <x:row r="5">
      <x:c r="A5" s="22" t="n">
        <x:v>46176</x:v>
      </x:c>
      <x:c r="B5" s="23" t="n">
        <x:f>SUMIFS('Project Date Detail'!$I$2:$I$49,'Project Date Detail'!$A$2:$A$49,$A5,'Project Date Detail'!$B$2:$B$49,B$3)</x:f>
        <x:v>246122</x:v>
      </x:c>
      <x:c r="C5" s="23" t="n">
        <x:f>SUMIFS('Project Date Detail'!$I$2:$I$49,'Project Date Detail'!$A$2:$A$49,$A5,'Project Date Detail'!$B$2:$B$49,C$3)</x:f>
        <x:v>12459</x:v>
      </x:c>
      <x:c r="D5" s="23" t="n">
        <x:f>SUMIFS('Project Date Detail'!$I$2:$I$49,'Project Date Detail'!$A$2:$A$49,$A5,'Project Date Detail'!$B$2:$B$49,D$3)</x:f>
        <x:v>0</x:v>
      </x:c>
      <x:c r="E5" s="23" t="n">
        <x:f>SUMIFS('Project Date Detail'!$I$2:$I$49,'Project Date Detail'!$A$2:$A$49,$A5,'Project Date Detail'!$B$2:$B$49,E$3)</x:f>
        <x:v>0</x:v>
      </x:c>
      <x:c r="F5" s="23" t="n">
        <x:f>SUMIFS('Project Date Detail'!$I$2:$I$49,'Project Date Detail'!$A$2:$A$49,$A5,'Project Date Detail'!$B$2:$B$49,F$3)</x:f>
        <x:v>0</x:v>
      </x:c>
      <x:c r="G5" s="23" t="n">
        <x:f>SUMIFS('Project Date Detail'!$I$2:$I$49,'Project Date Detail'!$A$2:$A$49,$A5,'Project Date Detail'!$B$2:$B$49,G$3)</x:f>
        <x:v>0</x:v>
      </x:c>
      <x:c r="H5" s="23" t="n">
        <x:f>SUMIFS('Project Date Detail'!$I$2:$I$49,'Project Date Detail'!$A$2:$A$49,$A5,'Project Date Detail'!$B$2:$B$49,H$3)</x:f>
        <x:v>9221</x:v>
      </x:c>
      <x:c r="I5" s="23" t="n">
        <x:f>SUMIFS('Project Date Detail'!$I$2:$I$49,'Project Date Detail'!$A$2:$A$49,$A5,'Project Date Detail'!$B$2:$B$49,I$3)</x:f>
        <x:v>1793</x:v>
      </x:c>
      <x:c r="J5" s="23" t="n">
        <x:f>SUMIFS('Project Date Detail'!$I$2:$I$49,'Project Date Detail'!$A$2:$A$49,$A5,'Project Date Detail'!$B$2:$B$49,J$3)</x:f>
        <x:v>0</x:v>
      </x:c>
      <x:c r="K5" s="23" t="n">
        <x:f>SUMIFS('Project Date Detail'!$I$2:$I$49,'Project Date Detail'!$A$2:$A$49,$A5,'Project Date Detail'!$B$2:$B$49,K$3)</x:f>
        <x:v>0</x:v>
      </x:c>
      <x:c r="L5" s="23" t="n">
        <x:f>SUMIFS('Project Date Detail'!$I$2:$I$49,'Project Date Detail'!$A$2:$A$49,$A5,'Project Date Detail'!$B$2:$B$49,L$3)</x:f>
        <x:v>0</x:v>
      </x:c>
      <x:c r="M5" s="23" t="n">
        <x:f>SUMIFS('Project Date Detail'!$I$2:$I$49,'Project Date Detail'!$A$2:$A$49,$A5,'Project Date Detail'!$B$2:$B$49,M$3)</x:f>
        <x:v>0</x:v>
      </x:c>
      <x:c r="N5" s="23" t="n">
        <x:f>SUMIFS('Project Date Detail'!$I$2:$I$49,'Project Date Detail'!$A$2:$A$49,$A5,'Project Date Detail'!$B$2:$B$49,N$3)</x:f>
        <x:v>0</x:v>
      </x:c>
      <x:c r="O5" s="23" t="n">
        <x:f>SUMIFS('Project Date Detail'!$I$2:$I$49,'Project Date Detail'!$A$2:$A$49,$A5,'Project Date Detail'!$B$2:$B$49,O$3)</x:f>
        <x:v>0</x:v>
      </x:c>
      <x:c r="P5" s="23" t="n">
        <x:f>SUMIFS('Project Date Detail'!$I$2:$I$49,'Project Date Detail'!$A$2:$A$49,$A5,'Project Date Detail'!$B$2:$B$49,P$3)</x:f>
        <x:v>0</x:v>
      </x:c>
      <x:c r="Q5" s="24" t="n">
        <x:f>SUMIFS('Project Date Detail'!$I$2:$I$49,'Project Date Detail'!$A$2:$A$49,$A5,'Project Date Detail'!$B$2:$B$49,Q$3)</x:f>
        <x:v>0</x:v>
      </x:c>
    </x:row>
    <x:row r="6">
      <x:c r="A6" s="22" t="n">
        <x:v>46177</x:v>
      </x:c>
      <x:c r="B6" s="23" t="n">
        <x:f>SUMIFS('Project Date Detail'!$I$2:$I$49,'Project Date Detail'!$A$2:$A$49,$A6,'Project Date Detail'!$B$2:$B$49,B$3)</x:f>
        <x:v>5713076</x:v>
      </x:c>
      <x:c r="C6" s="23" t="n">
        <x:f>SUMIFS('Project Date Detail'!$I$2:$I$49,'Project Date Detail'!$A$2:$A$49,$A6,'Project Date Detail'!$B$2:$B$49,C$3)</x:f>
        <x:v>0</x:v>
      </x:c>
      <x:c r="D6" s="23" t="n">
        <x:f>SUMIFS('Project Date Detail'!$I$2:$I$49,'Project Date Detail'!$A$2:$A$49,$A6,'Project Date Detail'!$B$2:$B$49,D$3)</x:f>
        <x:v>0</x:v>
      </x:c>
      <x:c r="E6" s="23" t="n">
        <x:f>SUMIFS('Project Date Detail'!$I$2:$I$49,'Project Date Detail'!$A$2:$A$49,$A6,'Project Date Detail'!$B$2:$B$49,E$3)</x:f>
        <x:v>0</x:v>
      </x:c>
      <x:c r="F6" s="23" t="n">
        <x:f>SUMIFS('Project Date Detail'!$I$2:$I$49,'Project Date Detail'!$A$2:$A$49,$A6,'Project Date Detail'!$B$2:$B$49,F$3)</x:f>
        <x:v>0</x:v>
      </x:c>
      <x:c r="G6" s="23" t="n">
        <x:f>SUMIFS('Project Date Detail'!$I$2:$I$49,'Project Date Detail'!$A$2:$A$49,$A6,'Project Date Detail'!$B$2:$B$49,G$3)</x:f>
        <x:v>0</x:v>
      </x:c>
      <x:c r="H6" s="23" t="n">
        <x:f>SUMIFS('Project Date Detail'!$I$2:$I$49,'Project Date Detail'!$A$2:$A$49,$A6,'Project Date Detail'!$B$2:$B$49,H$3)</x:f>
        <x:v>0</x:v>
      </x:c>
      <x:c r="I6" s="23" t="n">
        <x:f>SUMIFS('Project Date Detail'!$I$2:$I$49,'Project Date Detail'!$A$2:$A$49,$A6,'Project Date Detail'!$B$2:$B$49,I$3)</x:f>
        <x:v>0</x:v>
      </x:c>
      <x:c r="J6" s="23" t="n">
        <x:f>SUMIFS('Project Date Detail'!$I$2:$I$49,'Project Date Detail'!$A$2:$A$49,$A6,'Project Date Detail'!$B$2:$B$49,J$3)</x:f>
        <x:v>0</x:v>
      </x:c>
      <x:c r="K6" s="23" t="n">
        <x:f>SUMIFS('Project Date Detail'!$I$2:$I$49,'Project Date Detail'!$A$2:$A$49,$A6,'Project Date Detail'!$B$2:$B$49,K$3)</x:f>
        <x:v>0</x:v>
      </x:c>
      <x:c r="L6" s="23" t="n">
        <x:f>SUMIFS('Project Date Detail'!$I$2:$I$49,'Project Date Detail'!$A$2:$A$49,$A6,'Project Date Detail'!$B$2:$B$49,L$3)</x:f>
        <x:v>0</x:v>
      </x:c>
      <x:c r="M6" s="23" t="n">
        <x:f>SUMIFS('Project Date Detail'!$I$2:$I$49,'Project Date Detail'!$A$2:$A$49,$A6,'Project Date Detail'!$B$2:$B$49,M$3)</x:f>
        <x:v>0</x:v>
      </x:c>
      <x:c r="N6" s="23" t="n">
        <x:f>SUMIFS('Project Date Detail'!$I$2:$I$49,'Project Date Detail'!$A$2:$A$49,$A6,'Project Date Detail'!$B$2:$B$49,N$3)</x:f>
        <x:v>0</x:v>
      </x:c>
      <x:c r="O6" s="23" t="n">
        <x:f>SUMIFS('Project Date Detail'!$I$2:$I$49,'Project Date Detail'!$A$2:$A$49,$A6,'Project Date Detail'!$B$2:$B$49,O$3)</x:f>
        <x:v>0</x:v>
      </x:c>
      <x:c r="P6" s="23" t="n">
        <x:f>SUMIFS('Project Date Detail'!$I$2:$I$49,'Project Date Detail'!$A$2:$A$49,$A6,'Project Date Detail'!$B$2:$B$49,P$3)</x:f>
        <x:v>0</x:v>
      </x:c>
      <x:c r="Q6" s="24" t="n">
        <x:f>SUMIFS('Project Date Detail'!$I$2:$I$49,'Project Date Detail'!$A$2:$A$49,$A6,'Project Date Detail'!$B$2:$B$49,Q$3)</x:f>
        <x:v>0</x:v>
      </x:c>
    </x:row>
    <x:row r="7">
      <x:c r="A7" s="22" t="n">
        <x:v>46178</x:v>
      </x:c>
      <x:c r="B7" s="23" t="n">
        <x:f>SUMIFS('Project Date Detail'!$I$2:$I$49,'Project Date Detail'!$A$2:$A$49,$A7,'Project Date Detail'!$B$2:$B$49,B$3)</x:f>
        <x:v>1568399</x:v>
      </x:c>
      <x:c r="C7" s="23" t="n">
        <x:f>SUMIFS('Project Date Detail'!$I$2:$I$49,'Project Date Detail'!$A$2:$A$49,$A7,'Project Date Detail'!$B$2:$B$49,C$3)</x:f>
        <x:v>470449</x:v>
      </x:c>
      <x:c r="D7" s="23" t="n">
        <x:f>SUMIFS('Project Date Detail'!$I$2:$I$49,'Project Date Detail'!$A$2:$A$49,$A7,'Project Date Detail'!$B$2:$B$49,D$3)</x:f>
        <x:v>0</x:v>
      </x:c>
      <x:c r="E7" s="23" t="n">
        <x:f>SUMIFS('Project Date Detail'!$I$2:$I$49,'Project Date Detail'!$A$2:$A$49,$A7,'Project Date Detail'!$B$2:$B$49,E$3)</x:f>
        <x:v>0</x:v>
      </x:c>
      <x:c r="F7" s="23" t="n">
        <x:f>SUMIFS('Project Date Detail'!$I$2:$I$49,'Project Date Detail'!$A$2:$A$49,$A7,'Project Date Detail'!$B$2:$B$49,F$3)</x:f>
        <x:v>0</x:v>
      </x:c>
      <x:c r="G7" s="23" t="n">
        <x:f>SUMIFS('Project Date Detail'!$I$2:$I$49,'Project Date Detail'!$A$2:$A$49,$A7,'Project Date Detail'!$B$2:$B$49,G$3)</x:f>
        <x:v>0</x:v>
      </x:c>
      <x:c r="H7" s="23" t="n">
        <x:f>SUMIFS('Project Date Detail'!$I$2:$I$49,'Project Date Detail'!$A$2:$A$49,$A7,'Project Date Detail'!$B$2:$B$49,H$3)</x:f>
        <x:v>0</x:v>
      </x:c>
      <x:c r="I7" s="23" t="n">
        <x:f>SUMIFS('Project Date Detail'!$I$2:$I$49,'Project Date Detail'!$A$2:$A$49,$A7,'Project Date Detail'!$B$2:$B$49,I$3)</x:f>
        <x:v>0</x:v>
      </x:c>
      <x:c r="J7" s="23" t="n">
        <x:f>SUMIFS('Project Date Detail'!$I$2:$I$49,'Project Date Detail'!$A$2:$A$49,$A7,'Project Date Detail'!$B$2:$B$49,J$3)</x:f>
        <x:v>0</x:v>
      </x:c>
      <x:c r="K7" s="23" t="n">
        <x:f>SUMIFS('Project Date Detail'!$I$2:$I$49,'Project Date Detail'!$A$2:$A$49,$A7,'Project Date Detail'!$B$2:$B$49,K$3)</x:f>
        <x:v>0</x:v>
      </x:c>
      <x:c r="L7" s="23" t="n">
        <x:f>SUMIFS('Project Date Detail'!$I$2:$I$49,'Project Date Detail'!$A$2:$A$49,$A7,'Project Date Detail'!$B$2:$B$49,L$3)</x:f>
        <x:v>0</x:v>
      </x:c>
      <x:c r="M7" s="23" t="n">
        <x:f>SUMIFS('Project Date Detail'!$I$2:$I$49,'Project Date Detail'!$A$2:$A$49,$A7,'Project Date Detail'!$B$2:$B$49,M$3)</x:f>
        <x:v>0</x:v>
      </x:c>
      <x:c r="N7" s="23" t="n">
        <x:f>SUMIFS('Project Date Detail'!$I$2:$I$49,'Project Date Detail'!$A$2:$A$49,$A7,'Project Date Detail'!$B$2:$B$49,N$3)</x:f>
        <x:v>0</x:v>
      </x:c>
      <x:c r="O7" s="23" t="n">
        <x:f>SUMIFS('Project Date Detail'!$I$2:$I$49,'Project Date Detail'!$A$2:$A$49,$A7,'Project Date Detail'!$B$2:$B$49,O$3)</x:f>
        <x:v>0</x:v>
      </x:c>
      <x:c r="P7" s="23" t="n">
        <x:f>SUMIFS('Project Date Detail'!$I$2:$I$49,'Project Date Detail'!$A$2:$A$49,$A7,'Project Date Detail'!$B$2:$B$49,P$3)</x:f>
        <x:v>0</x:v>
      </x:c>
      <x:c r="Q7" s="24" t="n">
        <x:f>SUMIFS('Project Date Detail'!$I$2:$I$49,'Project Date Detail'!$A$2:$A$49,$A7,'Project Date Detail'!$B$2:$B$49,Q$3)</x:f>
        <x:v>0</x:v>
      </x:c>
    </x:row>
    <x:row r="8">
      <x:c r="A8" s="22" t="n">
        <x:v>46181</x:v>
      </x:c>
      <x:c r="B8" s="23" t="n">
        <x:f>SUMIFS('Project Date Detail'!$I$2:$I$49,'Project Date Detail'!$A$2:$A$49,$A8,'Project Date Detail'!$B$2:$B$49,B$3)</x:f>
        <x:v>12423</x:v>
      </x:c>
      <x:c r="C8" s="23" t="n">
        <x:f>SUMIFS('Project Date Detail'!$I$2:$I$49,'Project Date Detail'!$A$2:$A$49,$A8,'Project Date Detail'!$B$2:$B$49,C$3)</x:f>
        <x:v>2836</x:v>
      </x:c>
      <x:c r="D8" s="23" t="n">
        <x:f>SUMIFS('Project Date Detail'!$I$2:$I$49,'Project Date Detail'!$A$2:$A$49,$A8,'Project Date Detail'!$B$2:$B$49,D$3)</x:f>
        <x:v>0</x:v>
      </x:c>
      <x:c r="E8" s="23" t="n">
        <x:f>SUMIFS('Project Date Detail'!$I$2:$I$49,'Project Date Detail'!$A$2:$A$49,$A8,'Project Date Detail'!$B$2:$B$49,E$3)</x:f>
        <x:v>0</x:v>
      </x:c>
      <x:c r="F8" s="23" t="n">
        <x:f>SUMIFS('Project Date Detail'!$I$2:$I$49,'Project Date Detail'!$A$2:$A$49,$A8,'Project Date Detail'!$B$2:$B$49,F$3)</x:f>
        <x:v>0</x:v>
      </x:c>
      <x:c r="G8" s="23" t="n">
        <x:f>SUMIFS('Project Date Detail'!$I$2:$I$49,'Project Date Detail'!$A$2:$A$49,$A8,'Project Date Detail'!$B$2:$B$49,G$3)</x:f>
        <x:v>0</x:v>
      </x:c>
      <x:c r="H8" s="23" t="n">
        <x:f>SUMIFS('Project Date Detail'!$I$2:$I$49,'Project Date Detail'!$A$2:$A$49,$A8,'Project Date Detail'!$B$2:$B$49,H$3)</x:f>
        <x:v>0</x:v>
      </x:c>
      <x:c r="I8" s="23" t="n">
        <x:f>SUMIFS('Project Date Detail'!$I$2:$I$49,'Project Date Detail'!$A$2:$A$49,$A8,'Project Date Detail'!$B$2:$B$49,I$3)</x:f>
        <x:v>0</x:v>
      </x:c>
      <x:c r="J8" s="23" t="n">
        <x:f>SUMIFS('Project Date Detail'!$I$2:$I$49,'Project Date Detail'!$A$2:$A$49,$A8,'Project Date Detail'!$B$2:$B$49,J$3)</x:f>
        <x:v>0</x:v>
      </x:c>
      <x:c r="K8" s="23" t="n">
        <x:f>SUMIFS('Project Date Detail'!$I$2:$I$49,'Project Date Detail'!$A$2:$A$49,$A8,'Project Date Detail'!$B$2:$B$49,K$3)</x:f>
        <x:v>0</x:v>
      </x:c>
      <x:c r="L8" s="23" t="n">
        <x:f>SUMIFS('Project Date Detail'!$I$2:$I$49,'Project Date Detail'!$A$2:$A$49,$A8,'Project Date Detail'!$B$2:$B$49,L$3)</x:f>
        <x:v>0</x:v>
      </x:c>
      <x:c r="M8" s="23" t="n">
        <x:f>SUMIFS('Project Date Detail'!$I$2:$I$49,'Project Date Detail'!$A$2:$A$49,$A8,'Project Date Detail'!$B$2:$B$49,M$3)</x:f>
        <x:v>0</x:v>
      </x:c>
      <x:c r="N8" s="23" t="n">
        <x:f>SUMIFS('Project Date Detail'!$I$2:$I$49,'Project Date Detail'!$A$2:$A$49,$A8,'Project Date Detail'!$B$2:$B$49,N$3)</x:f>
        <x:v>0</x:v>
      </x:c>
      <x:c r="O8" s="23" t="n">
        <x:f>SUMIFS('Project Date Detail'!$I$2:$I$49,'Project Date Detail'!$A$2:$A$49,$A8,'Project Date Detail'!$B$2:$B$49,O$3)</x:f>
        <x:v>0</x:v>
      </x:c>
      <x:c r="P8" s="23" t="n">
        <x:f>SUMIFS('Project Date Detail'!$I$2:$I$49,'Project Date Detail'!$A$2:$A$49,$A8,'Project Date Detail'!$B$2:$B$49,P$3)</x:f>
        <x:v>0</x:v>
      </x:c>
      <x:c r="Q8" s="24" t="n">
        <x:f>SUMIFS('Project Date Detail'!$I$2:$I$49,'Project Date Detail'!$A$2:$A$49,$A8,'Project Date Detail'!$B$2:$B$49,Q$3)</x:f>
        <x:v>0</x:v>
      </x:c>
    </x:row>
    <x:row r="9">
      <x:c r="A9" s="22" t="n">
        <x:v>46182</x:v>
      </x:c>
      <x:c r="B9" s="23" t="n">
        <x:f>SUMIFS('Project Date Detail'!$I$2:$I$49,'Project Date Detail'!$A$2:$A$49,$A9,'Project Date Detail'!$B$2:$B$49,B$3)</x:f>
        <x:v>884177</x:v>
      </x:c>
      <x:c r="C9" s="23" t="n">
        <x:f>SUMIFS('Project Date Detail'!$I$2:$I$49,'Project Date Detail'!$A$2:$A$49,$A9,'Project Date Detail'!$B$2:$B$49,C$3)</x:f>
        <x:v>42636</x:v>
      </x:c>
      <x:c r="D9" s="23" t="n">
        <x:f>SUMIFS('Project Date Detail'!$I$2:$I$49,'Project Date Detail'!$A$2:$A$49,$A9,'Project Date Detail'!$B$2:$B$49,D$3)</x:f>
        <x:v>0</x:v>
      </x:c>
      <x:c r="E9" s="23" t="n">
        <x:f>SUMIFS('Project Date Detail'!$I$2:$I$49,'Project Date Detail'!$A$2:$A$49,$A9,'Project Date Detail'!$B$2:$B$49,E$3)</x:f>
        <x:v>0</x:v>
      </x:c>
      <x:c r="F9" s="23" t="n">
        <x:f>SUMIFS('Project Date Detail'!$I$2:$I$49,'Project Date Detail'!$A$2:$A$49,$A9,'Project Date Detail'!$B$2:$B$49,F$3)</x:f>
        <x:v>0</x:v>
      </x:c>
      <x:c r="G9" s="23" t="n">
        <x:f>SUMIFS('Project Date Detail'!$I$2:$I$49,'Project Date Detail'!$A$2:$A$49,$A9,'Project Date Detail'!$B$2:$B$49,G$3)</x:f>
        <x:v>0</x:v>
      </x:c>
      <x:c r="H9" s="23" t="n">
        <x:f>SUMIFS('Project Date Detail'!$I$2:$I$49,'Project Date Detail'!$A$2:$A$49,$A9,'Project Date Detail'!$B$2:$B$49,H$3)</x:f>
        <x:v>0</x:v>
      </x:c>
      <x:c r="I9" s="23" t="n">
        <x:f>SUMIFS('Project Date Detail'!$I$2:$I$49,'Project Date Detail'!$A$2:$A$49,$A9,'Project Date Detail'!$B$2:$B$49,I$3)</x:f>
        <x:v>0</x:v>
      </x:c>
      <x:c r="J9" s="23" t="n">
        <x:f>SUMIFS('Project Date Detail'!$I$2:$I$49,'Project Date Detail'!$A$2:$A$49,$A9,'Project Date Detail'!$B$2:$B$49,J$3)</x:f>
        <x:v>0</x:v>
      </x:c>
      <x:c r="K9" s="23" t="n">
        <x:f>SUMIFS('Project Date Detail'!$I$2:$I$49,'Project Date Detail'!$A$2:$A$49,$A9,'Project Date Detail'!$B$2:$B$49,K$3)</x:f>
        <x:v>0</x:v>
      </x:c>
      <x:c r="L9" s="23" t="n">
        <x:f>SUMIFS('Project Date Detail'!$I$2:$I$49,'Project Date Detail'!$A$2:$A$49,$A9,'Project Date Detail'!$B$2:$B$49,L$3)</x:f>
        <x:v>0</x:v>
      </x:c>
      <x:c r="M9" s="23" t="n">
        <x:f>SUMIFS('Project Date Detail'!$I$2:$I$49,'Project Date Detail'!$A$2:$A$49,$A9,'Project Date Detail'!$B$2:$B$49,M$3)</x:f>
        <x:v>0</x:v>
      </x:c>
      <x:c r="N9" s="23" t="n">
        <x:f>SUMIFS('Project Date Detail'!$I$2:$I$49,'Project Date Detail'!$A$2:$A$49,$A9,'Project Date Detail'!$B$2:$B$49,N$3)</x:f>
        <x:v>0</x:v>
      </x:c>
      <x:c r="O9" s="23" t="n">
        <x:f>SUMIFS('Project Date Detail'!$I$2:$I$49,'Project Date Detail'!$A$2:$A$49,$A9,'Project Date Detail'!$B$2:$B$49,O$3)</x:f>
        <x:v>0</x:v>
      </x:c>
      <x:c r="P9" s="23" t="n">
        <x:f>SUMIFS('Project Date Detail'!$I$2:$I$49,'Project Date Detail'!$A$2:$A$49,$A9,'Project Date Detail'!$B$2:$B$49,P$3)</x:f>
        <x:v>0</x:v>
      </x:c>
      <x:c r="Q9" s="24" t="n">
        <x:f>SUMIFS('Project Date Detail'!$I$2:$I$49,'Project Date Detail'!$A$2:$A$49,$A9,'Project Date Detail'!$B$2:$B$49,Q$3)</x:f>
        <x:v>0</x:v>
      </x:c>
    </x:row>
    <x:row r="10">
      <x:c r="A10" s="22" t="n">
        <x:v>46188</x:v>
      </x:c>
      <x:c r="B10" s="23" t="n">
        <x:f>SUMIFS('Project Date Detail'!$I$2:$I$49,'Project Date Detail'!$A$2:$A$49,$A10,'Project Date Detail'!$B$2:$B$49,B$3)</x:f>
        <x:v>3627932</x:v>
      </x:c>
      <x:c r="C10" s="23" t="n">
        <x:f>SUMIFS('Project Date Detail'!$I$2:$I$49,'Project Date Detail'!$A$2:$A$49,$A10,'Project Date Detail'!$B$2:$B$49,C$3)</x:f>
        <x:v>709239</x:v>
      </x:c>
      <x:c r="D10" s="23" t="n">
        <x:f>SUMIFS('Project Date Detail'!$I$2:$I$49,'Project Date Detail'!$A$2:$A$49,$A10,'Project Date Detail'!$B$2:$B$49,D$3)</x:f>
        <x:v>0</x:v>
      </x:c>
      <x:c r="E10" s="23" t="n">
        <x:f>SUMIFS('Project Date Detail'!$I$2:$I$49,'Project Date Detail'!$A$2:$A$49,$A10,'Project Date Detail'!$B$2:$B$49,E$3)</x:f>
        <x:v>0</x:v>
      </x:c>
      <x:c r="F10" s="23" t="n">
        <x:f>SUMIFS('Project Date Detail'!$I$2:$I$49,'Project Date Detail'!$A$2:$A$49,$A10,'Project Date Detail'!$B$2:$B$49,F$3)</x:f>
        <x:v>0</x:v>
      </x:c>
      <x:c r="G10" s="23" t="n">
        <x:f>SUMIFS('Project Date Detail'!$I$2:$I$49,'Project Date Detail'!$A$2:$A$49,$A10,'Project Date Detail'!$B$2:$B$49,G$3)</x:f>
        <x:v>0</x:v>
      </x:c>
      <x:c r="H10" s="23" t="n">
        <x:f>SUMIFS('Project Date Detail'!$I$2:$I$49,'Project Date Detail'!$A$2:$A$49,$A10,'Project Date Detail'!$B$2:$B$49,H$3)</x:f>
        <x:v>0</x:v>
      </x:c>
      <x:c r="I10" s="23" t="n">
        <x:f>SUMIFS('Project Date Detail'!$I$2:$I$49,'Project Date Detail'!$A$2:$A$49,$A10,'Project Date Detail'!$B$2:$B$49,I$3)</x:f>
        <x:v>0</x:v>
      </x:c>
      <x:c r="J10" s="23" t="n">
        <x:f>SUMIFS('Project Date Detail'!$I$2:$I$49,'Project Date Detail'!$A$2:$A$49,$A10,'Project Date Detail'!$B$2:$B$49,J$3)</x:f>
        <x:v>0</x:v>
      </x:c>
      <x:c r="K10" s="23" t="n">
        <x:f>SUMIFS('Project Date Detail'!$I$2:$I$49,'Project Date Detail'!$A$2:$A$49,$A10,'Project Date Detail'!$B$2:$B$49,K$3)</x:f>
        <x:v>0</x:v>
      </x:c>
      <x:c r="L10" s="23" t="n">
        <x:f>SUMIFS('Project Date Detail'!$I$2:$I$49,'Project Date Detail'!$A$2:$A$49,$A10,'Project Date Detail'!$B$2:$B$49,L$3)</x:f>
        <x:v>0</x:v>
      </x:c>
      <x:c r="M10" s="23" t="n">
        <x:f>SUMIFS('Project Date Detail'!$I$2:$I$49,'Project Date Detail'!$A$2:$A$49,$A10,'Project Date Detail'!$B$2:$B$49,M$3)</x:f>
        <x:v>0</x:v>
      </x:c>
      <x:c r="N10" s="23" t="n">
        <x:f>SUMIFS('Project Date Detail'!$I$2:$I$49,'Project Date Detail'!$A$2:$A$49,$A10,'Project Date Detail'!$B$2:$B$49,N$3)</x:f>
        <x:v>17203</x:v>
      </x:c>
      <x:c r="O10" s="23" t="n">
        <x:f>SUMIFS('Project Date Detail'!$I$2:$I$49,'Project Date Detail'!$A$2:$A$49,$A10,'Project Date Detail'!$B$2:$B$49,O$3)</x:f>
        <x:v>0</x:v>
      </x:c>
      <x:c r="P10" s="23" t="n">
        <x:f>SUMIFS('Project Date Detail'!$I$2:$I$49,'Project Date Detail'!$A$2:$A$49,$A10,'Project Date Detail'!$B$2:$B$49,P$3)</x:f>
        <x:v>0</x:v>
      </x:c>
      <x:c r="Q10" s="24" t="n">
        <x:f>SUMIFS('Project Date Detail'!$I$2:$I$49,'Project Date Detail'!$A$2:$A$49,$A10,'Project Date Detail'!$B$2:$B$49,Q$3)</x:f>
        <x:v>0</x:v>
      </x:c>
    </x:row>
    <x:row r="11">
      <x:c r="A11" s="22" t="n">
        <x:v>46189</x:v>
      </x:c>
      <x:c r="B11" s="23" t="n">
        <x:f>SUMIFS('Project Date Detail'!$I$2:$I$49,'Project Date Detail'!$A$2:$A$49,$A11,'Project Date Detail'!$B$2:$B$49,B$3)</x:f>
        <x:v>2742825</x:v>
      </x:c>
      <x:c r="C11" s="23" t="n">
        <x:f>SUMIFS('Project Date Detail'!$I$2:$I$49,'Project Date Detail'!$A$2:$A$49,$A11,'Project Date Detail'!$B$2:$B$49,C$3)</x:f>
        <x:v>154917</x:v>
      </x:c>
      <x:c r="D11" s="23" t="n">
        <x:f>SUMIFS('Project Date Detail'!$I$2:$I$49,'Project Date Detail'!$A$2:$A$49,$A11,'Project Date Detail'!$B$2:$B$49,D$3)</x:f>
        <x:v>0</x:v>
      </x:c>
      <x:c r="E11" s="23" t="n">
        <x:f>SUMIFS('Project Date Detail'!$I$2:$I$49,'Project Date Detail'!$A$2:$A$49,$A11,'Project Date Detail'!$B$2:$B$49,E$3)</x:f>
        <x:v>0</x:v>
      </x:c>
      <x:c r="F11" s="23" t="n">
        <x:f>SUMIFS('Project Date Detail'!$I$2:$I$49,'Project Date Detail'!$A$2:$A$49,$A11,'Project Date Detail'!$B$2:$B$49,F$3)</x:f>
        <x:v>0</x:v>
      </x:c>
      <x:c r="G11" s="23" t="n">
        <x:f>SUMIFS('Project Date Detail'!$I$2:$I$49,'Project Date Detail'!$A$2:$A$49,$A11,'Project Date Detail'!$B$2:$B$49,G$3)</x:f>
        <x:v>0</x:v>
      </x:c>
      <x:c r="H11" s="23" t="n">
        <x:f>SUMIFS('Project Date Detail'!$I$2:$I$49,'Project Date Detail'!$A$2:$A$49,$A11,'Project Date Detail'!$B$2:$B$49,H$3)</x:f>
        <x:v>0</x:v>
      </x:c>
      <x:c r="I11" s="23" t="n">
        <x:f>SUMIFS('Project Date Detail'!$I$2:$I$49,'Project Date Detail'!$A$2:$A$49,$A11,'Project Date Detail'!$B$2:$B$49,I$3)</x:f>
        <x:v>0</x:v>
      </x:c>
      <x:c r="J11" s="23" t="n">
        <x:f>SUMIFS('Project Date Detail'!$I$2:$I$49,'Project Date Detail'!$A$2:$A$49,$A11,'Project Date Detail'!$B$2:$B$49,J$3)</x:f>
        <x:v>0</x:v>
      </x:c>
      <x:c r="K11" s="23" t="n">
        <x:f>SUMIFS('Project Date Detail'!$I$2:$I$49,'Project Date Detail'!$A$2:$A$49,$A11,'Project Date Detail'!$B$2:$B$49,K$3)</x:f>
        <x:v>0</x:v>
      </x:c>
      <x:c r="L11" s="23" t="n">
        <x:f>SUMIFS('Project Date Detail'!$I$2:$I$49,'Project Date Detail'!$A$2:$A$49,$A11,'Project Date Detail'!$B$2:$B$49,L$3)</x:f>
        <x:v>0</x:v>
      </x:c>
      <x:c r="M11" s="23" t="n">
        <x:f>SUMIFS('Project Date Detail'!$I$2:$I$49,'Project Date Detail'!$A$2:$A$49,$A11,'Project Date Detail'!$B$2:$B$49,M$3)</x:f>
        <x:v>0</x:v>
      </x:c>
      <x:c r="N11" s="23" t="n">
        <x:f>SUMIFS('Project Date Detail'!$I$2:$I$49,'Project Date Detail'!$A$2:$A$49,$A11,'Project Date Detail'!$B$2:$B$49,N$3)</x:f>
        <x:v>0</x:v>
      </x:c>
      <x:c r="O11" s="23" t="n">
        <x:f>SUMIFS('Project Date Detail'!$I$2:$I$49,'Project Date Detail'!$A$2:$A$49,$A11,'Project Date Detail'!$B$2:$B$49,O$3)</x:f>
        <x:v>0</x:v>
      </x:c>
      <x:c r="P11" s="23" t="n">
        <x:f>SUMIFS('Project Date Detail'!$I$2:$I$49,'Project Date Detail'!$A$2:$A$49,$A11,'Project Date Detail'!$B$2:$B$49,P$3)</x:f>
        <x:v>0</x:v>
      </x:c>
      <x:c r="Q11" s="24" t="n">
        <x:f>SUMIFS('Project Date Detail'!$I$2:$I$49,'Project Date Detail'!$A$2:$A$49,$A11,'Project Date Detail'!$B$2:$B$49,Q$3)</x:f>
        <x:v>0</x:v>
      </x:c>
    </x:row>
    <x:row r="12">
      <x:c r="A12" s="22" t="n">
        <x:v>46190</x:v>
      </x:c>
      <x:c r="B12" s="23" t="n">
        <x:f>SUMIFS('Project Date Detail'!$I$2:$I$49,'Project Date Detail'!$A$2:$A$49,$A12,'Project Date Detail'!$B$2:$B$49,B$3)</x:f>
        <x:v>2157120</x:v>
      </x:c>
      <x:c r="C12" s="23" t="n">
        <x:f>SUMIFS('Project Date Detail'!$I$2:$I$49,'Project Date Detail'!$A$2:$A$49,$A12,'Project Date Detail'!$B$2:$B$49,C$3)</x:f>
        <x:v>613725</x:v>
      </x:c>
      <x:c r="D12" s="23" t="n">
        <x:f>SUMIFS('Project Date Detail'!$I$2:$I$49,'Project Date Detail'!$A$2:$A$49,$A12,'Project Date Detail'!$B$2:$B$49,D$3)</x:f>
        <x:v>15485</x:v>
      </x:c>
      <x:c r="E12" s="23" t="n">
        <x:f>SUMIFS('Project Date Detail'!$I$2:$I$49,'Project Date Detail'!$A$2:$A$49,$A12,'Project Date Detail'!$B$2:$B$49,E$3)</x:f>
        <x:v>0</x:v>
      </x:c>
      <x:c r="F12" s="23" t="n">
        <x:f>SUMIFS('Project Date Detail'!$I$2:$I$49,'Project Date Detail'!$A$2:$A$49,$A12,'Project Date Detail'!$B$2:$B$49,F$3)</x:f>
        <x:v>0</x:v>
      </x:c>
      <x:c r="G12" s="23" t="n">
        <x:f>SUMIFS('Project Date Detail'!$I$2:$I$49,'Project Date Detail'!$A$2:$A$49,$A12,'Project Date Detail'!$B$2:$B$49,G$3)</x:f>
        <x:v>0</x:v>
      </x:c>
      <x:c r="H12" s="23" t="n">
        <x:f>SUMIFS('Project Date Detail'!$I$2:$I$49,'Project Date Detail'!$A$2:$A$49,$A12,'Project Date Detail'!$B$2:$B$49,H$3)</x:f>
        <x:v>0</x:v>
      </x:c>
      <x:c r="I12" s="23" t="n">
        <x:f>SUMIFS('Project Date Detail'!$I$2:$I$49,'Project Date Detail'!$A$2:$A$49,$A12,'Project Date Detail'!$B$2:$B$49,I$3)</x:f>
        <x:v>0</x:v>
      </x:c>
      <x:c r="J12" s="23" t="n">
        <x:f>SUMIFS('Project Date Detail'!$I$2:$I$49,'Project Date Detail'!$A$2:$A$49,$A12,'Project Date Detail'!$B$2:$B$49,J$3)</x:f>
        <x:v>0</x:v>
      </x:c>
      <x:c r="K12" s="23" t="n">
        <x:f>SUMIFS('Project Date Detail'!$I$2:$I$49,'Project Date Detail'!$A$2:$A$49,$A12,'Project Date Detail'!$B$2:$B$49,K$3)</x:f>
        <x:v>0</x:v>
      </x:c>
      <x:c r="L12" s="23" t="n">
        <x:f>SUMIFS('Project Date Detail'!$I$2:$I$49,'Project Date Detail'!$A$2:$A$49,$A12,'Project Date Detail'!$B$2:$B$49,L$3)</x:f>
        <x:v>0</x:v>
      </x:c>
      <x:c r="M12" s="23" t="n">
        <x:f>SUMIFS('Project Date Detail'!$I$2:$I$49,'Project Date Detail'!$A$2:$A$49,$A12,'Project Date Detail'!$B$2:$B$49,M$3)</x:f>
        <x:v>82713</x:v>
      </x:c>
      <x:c r="N12" s="23" t="n">
        <x:f>SUMIFS('Project Date Detail'!$I$2:$I$49,'Project Date Detail'!$A$2:$A$49,$A12,'Project Date Detail'!$B$2:$B$49,N$3)</x:f>
        <x:v>0</x:v>
      </x:c>
      <x:c r="O12" s="23" t="n">
        <x:f>SUMIFS('Project Date Detail'!$I$2:$I$49,'Project Date Detail'!$A$2:$A$49,$A12,'Project Date Detail'!$B$2:$B$49,O$3)</x:f>
        <x:v>0</x:v>
      </x:c>
      <x:c r="P12" s="23" t="n">
        <x:f>SUMIFS('Project Date Detail'!$I$2:$I$49,'Project Date Detail'!$A$2:$A$49,$A12,'Project Date Detail'!$B$2:$B$49,P$3)</x:f>
        <x:v>0</x:v>
      </x:c>
      <x:c r="Q12" s="24" t="n">
        <x:f>SUMIFS('Project Date Detail'!$I$2:$I$49,'Project Date Detail'!$A$2:$A$49,$A12,'Project Date Detail'!$B$2:$B$49,Q$3)</x:f>
        <x:v>0</x:v>
      </x:c>
    </x:row>
    <x:row r="13">
      <x:c r="A13" s="22" t="n">
        <x:v>46191</x:v>
      </x:c>
      <x:c r="B13" s="23" t="n">
        <x:f>SUMIFS('Project Date Detail'!$I$2:$I$49,'Project Date Detail'!$A$2:$A$49,$A13,'Project Date Detail'!$B$2:$B$49,B$3)</x:f>
        <x:v>2112901</x:v>
      </x:c>
      <x:c r="C13" s="23" t="n">
        <x:f>SUMIFS('Project Date Detail'!$I$2:$I$49,'Project Date Detail'!$A$2:$A$49,$A13,'Project Date Detail'!$B$2:$B$49,C$3)</x:f>
        <x:v>0</x:v>
      </x:c>
      <x:c r="D13" s="23" t="n">
        <x:f>SUMIFS('Project Date Detail'!$I$2:$I$49,'Project Date Detail'!$A$2:$A$49,$A13,'Project Date Detail'!$B$2:$B$49,D$3)</x:f>
        <x:v>75162</x:v>
      </x:c>
      <x:c r="E13" s="23" t="n">
        <x:f>SUMIFS('Project Date Detail'!$I$2:$I$49,'Project Date Detail'!$A$2:$A$49,$A13,'Project Date Detail'!$B$2:$B$49,E$3)</x:f>
        <x:v>241213</x:v>
      </x:c>
      <x:c r="F13" s="23" t="n">
        <x:f>SUMIFS('Project Date Detail'!$I$2:$I$49,'Project Date Detail'!$A$2:$A$49,$A13,'Project Date Detail'!$B$2:$B$49,F$3)</x:f>
        <x:v>0</x:v>
      </x:c>
      <x:c r="G13" s="23" t="n">
        <x:f>SUMIFS('Project Date Detail'!$I$2:$I$49,'Project Date Detail'!$A$2:$A$49,$A13,'Project Date Detail'!$B$2:$B$49,G$3)</x:f>
        <x:v>0</x:v>
      </x:c>
      <x:c r="H13" s="23" t="n">
        <x:f>SUMIFS('Project Date Detail'!$I$2:$I$49,'Project Date Detail'!$A$2:$A$49,$A13,'Project Date Detail'!$B$2:$B$49,H$3)</x:f>
        <x:v>0</x:v>
      </x:c>
      <x:c r="I13" s="23" t="n">
        <x:f>SUMIFS('Project Date Detail'!$I$2:$I$49,'Project Date Detail'!$A$2:$A$49,$A13,'Project Date Detail'!$B$2:$B$49,I$3)</x:f>
        <x:v>0</x:v>
      </x:c>
      <x:c r="J13" s="23" t="n">
        <x:f>SUMIFS('Project Date Detail'!$I$2:$I$49,'Project Date Detail'!$A$2:$A$49,$A13,'Project Date Detail'!$B$2:$B$49,J$3)</x:f>
        <x:v>0</x:v>
      </x:c>
      <x:c r="K13" s="23" t="n">
        <x:f>SUMIFS('Project Date Detail'!$I$2:$I$49,'Project Date Detail'!$A$2:$A$49,$A13,'Project Date Detail'!$B$2:$B$49,K$3)</x:f>
        <x:v>9527</x:v>
      </x:c>
      <x:c r="L13" s="23" t="n">
        <x:f>SUMIFS('Project Date Detail'!$I$2:$I$49,'Project Date Detail'!$A$2:$A$49,$A13,'Project Date Detail'!$B$2:$B$49,L$3)</x:f>
        <x:v>0</x:v>
      </x:c>
      <x:c r="M13" s="23" t="n">
        <x:f>SUMIFS('Project Date Detail'!$I$2:$I$49,'Project Date Detail'!$A$2:$A$49,$A13,'Project Date Detail'!$B$2:$B$49,M$3)</x:f>
        <x:v>0</x:v>
      </x:c>
      <x:c r="N13" s="23" t="n">
        <x:f>SUMIFS('Project Date Detail'!$I$2:$I$49,'Project Date Detail'!$A$2:$A$49,$A13,'Project Date Detail'!$B$2:$B$49,N$3)</x:f>
        <x:v>0</x:v>
      </x:c>
      <x:c r="O13" s="23" t="n">
        <x:f>SUMIFS('Project Date Detail'!$I$2:$I$49,'Project Date Detail'!$A$2:$A$49,$A13,'Project Date Detail'!$B$2:$B$49,O$3)</x:f>
        <x:v>0</x:v>
      </x:c>
      <x:c r="P13" s="23" t="n">
        <x:f>SUMIFS('Project Date Detail'!$I$2:$I$49,'Project Date Detail'!$A$2:$A$49,$A13,'Project Date Detail'!$B$2:$B$49,P$3)</x:f>
        <x:v>0</x:v>
      </x:c>
      <x:c r="Q13" s="24" t="n">
        <x:f>SUMIFS('Project Date Detail'!$I$2:$I$49,'Project Date Detail'!$A$2:$A$49,$A13,'Project Date Detail'!$B$2:$B$49,Q$3)</x:f>
        <x:v>0</x:v>
      </x:c>
    </x:row>
    <x:row r="14">
      <x:c r="A14" s="22" t="n">
        <x:v>46195</x:v>
      </x:c>
      <x:c r="B14" s="23" t="n">
        <x:f>SUMIFS('Project Date Detail'!$I$2:$I$49,'Project Date Detail'!$A$2:$A$49,$A14,'Project Date Detail'!$B$2:$B$49,B$3)</x:f>
        <x:v>2273916</x:v>
      </x:c>
      <x:c r="C14" s="23" t="n">
        <x:f>SUMIFS('Project Date Detail'!$I$2:$I$49,'Project Date Detail'!$A$2:$A$49,$A14,'Project Date Detail'!$B$2:$B$49,C$3)</x:f>
        <x:v>103781</x:v>
      </x:c>
      <x:c r="D14" s="23" t="n">
        <x:f>SUMIFS('Project Date Detail'!$I$2:$I$49,'Project Date Detail'!$A$2:$A$49,$A14,'Project Date Detail'!$B$2:$B$49,D$3)</x:f>
        <x:v>0</x:v>
      </x:c>
      <x:c r="E14" s="23" t="n">
        <x:f>SUMIFS('Project Date Detail'!$I$2:$I$49,'Project Date Detail'!$A$2:$A$49,$A14,'Project Date Detail'!$B$2:$B$49,E$3)</x:f>
        <x:v>0</x:v>
      </x:c>
      <x:c r="F14" s="23" t="n">
        <x:f>SUMIFS('Project Date Detail'!$I$2:$I$49,'Project Date Detail'!$A$2:$A$49,$A14,'Project Date Detail'!$B$2:$B$49,F$3)</x:f>
        <x:v>0</x:v>
      </x:c>
      <x:c r="G14" s="23" t="n">
        <x:f>SUMIFS('Project Date Detail'!$I$2:$I$49,'Project Date Detail'!$A$2:$A$49,$A14,'Project Date Detail'!$B$2:$B$49,G$3)</x:f>
        <x:v>0</x:v>
      </x:c>
      <x:c r="H14" s="23" t="n">
        <x:f>SUMIFS('Project Date Detail'!$I$2:$I$49,'Project Date Detail'!$A$2:$A$49,$A14,'Project Date Detail'!$B$2:$B$49,H$3)</x:f>
        <x:v>402660</x:v>
      </x:c>
      <x:c r="I14" s="23" t="n">
        <x:f>SUMIFS('Project Date Detail'!$I$2:$I$49,'Project Date Detail'!$A$2:$A$49,$A14,'Project Date Detail'!$B$2:$B$49,I$3)</x:f>
        <x:v>0</x:v>
      </x:c>
      <x:c r="J14" s="23" t="n">
        <x:f>SUMIFS('Project Date Detail'!$I$2:$I$49,'Project Date Detail'!$A$2:$A$49,$A14,'Project Date Detail'!$B$2:$B$49,J$3)</x:f>
        <x:v>0</x:v>
      </x:c>
      <x:c r="K14" s="23" t="n">
        <x:f>SUMIFS('Project Date Detail'!$I$2:$I$49,'Project Date Detail'!$A$2:$A$49,$A14,'Project Date Detail'!$B$2:$B$49,K$3)</x:f>
        <x:v>0</x:v>
      </x:c>
      <x:c r="L14" s="23" t="n">
        <x:f>SUMIFS('Project Date Detail'!$I$2:$I$49,'Project Date Detail'!$A$2:$A$49,$A14,'Project Date Detail'!$B$2:$B$49,L$3)</x:f>
        <x:v>0</x:v>
      </x:c>
      <x:c r="M14" s="23" t="n">
        <x:f>SUMIFS('Project Date Detail'!$I$2:$I$49,'Project Date Detail'!$A$2:$A$49,$A14,'Project Date Detail'!$B$2:$B$49,M$3)</x:f>
        <x:v>0</x:v>
      </x:c>
      <x:c r="N14" s="23" t="n">
        <x:f>SUMIFS('Project Date Detail'!$I$2:$I$49,'Project Date Detail'!$A$2:$A$49,$A14,'Project Date Detail'!$B$2:$B$49,N$3)</x:f>
        <x:v>0</x:v>
      </x:c>
      <x:c r="O14" s="23" t="n">
        <x:f>SUMIFS('Project Date Detail'!$I$2:$I$49,'Project Date Detail'!$A$2:$A$49,$A14,'Project Date Detail'!$B$2:$B$49,O$3)</x:f>
        <x:v>6432</x:v>
      </x:c>
      <x:c r="P14" s="23" t="n">
        <x:f>SUMIFS('Project Date Detail'!$I$2:$I$49,'Project Date Detail'!$A$2:$A$49,$A14,'Project Date Detail'!$B$2:$B$49,P$3)</x:f>
        <x:v>0</x:v>
      </x:c>
      <x:c r="Q14" s="24" t="n">
        <x:f>SUMIFS('Project Date Detail'!$I$2:$I$49,'Project Date Detail'!$A$2:$A$49,$A14,'Project Date Detail'!$B$2:$B$49,Q$3)</x:f>
        <x:v>0</x:v>
      </x:c>
    </x:row>
    <x:row r="15">
      <x:c r="A15" s="22" t="n">
        <x:v>46196</x:v>
      </x:c>
      <x:c r="B15" s="23" t="n">
        <x:f>SUMIFS('Project Date Detail'!$I$2:$I$49,'Project Date Detail'!$A$2:$A$49,$A15,'Project Date Detail'!$B$2:$B$49,B$3)</x:f>
        <x:v>5929952</x:v>
      </x:c>
      <x:c r="C15" s="23" t="n">
        <x:f>SUMIFS('Project Date Detail'!$I$2:$I$49,'Project Date Detail'!$A$2:$A$49,$A15,'Project Date Detail'!$B$2:$B$49,C$3)</x:f>
        <x:v>174730</x:v>
      </x:c>
      <x:c r="D15" s="23" t="n">
        <x:f>SUMIFS('Project Date Detail'!$I$2:$I$49,'Project Date Detail'!$A$2:$A$49,$A15,'Project Date Detail'!$B$2:$B$49,D$3)</x:f>
        <x:v>0</x:v>
      </x:c>
      <x:c r="E15" s="23" t="n">
        <x:f>SUMIFS('Project Date Detail'!$I$2:$I$49,'Project Date Detail'!$A$2:$A$49,$A15,'Project Date Detail'!$B$2:$B$49,E$3)</x:f>
        <x:v>0</x:v>
      </x:c>
      <x:c r="F15" s="23" t="n">
        <x:f>SUMIFS('Project Date Detail'!$I$2:$I$49,'Project Date Detail'!$A$2:$A$49,$A15,'Project Date Detail'!$B$2:$B$49,F$3)</x:f>
        <x:v>0</x:v>
      </x:c>
      <x:c r="G15" s="23" t="n">
        <x:f>SUMIFS('Project Date Detail'!$I$2:$I$49,'Project Date Detail'!$A$2:$A$49,$A15,'Project Date Detail'!$B$2:$B$49,G$3)</x:f>
        <x:v>0</x:v>
      </x:c>
      <x:c r="H15" s="23" t="n">
        <x:f>SUMIFS('Project Date Detail'!$I$2:$I$49,'Project Date Detail'!$A$2:$A$49,$A15,'Project Date Detail'!$B$2:$B$49,H$3)</x:f>
        <x:v>0</x:v>
      </x:c>
      <x:c r="I15" s="23" t="n">
        <x:f>SUMIFS('Project Date Detail'!$I$2:$I$49,'Project Date Detail'!$A$2:$A$49,$A15,'Project Date Detail'!$B$2:$B$49,I$3)</x:f>
        <x:v>162504</x:v>
      </x:c>
      <x:c r="J15" s="23" t="n">
        <x:f>SUMIFS('Project Date Detail'!$I$2:$I$49,'Project Date Detail'!$A$2:$A$49,$A15,'Project Date Detail'!$B$2:$B$49,J$3)</x:f>
        <x:v>0</x:v>
      </x:c>
      <x:c r="K15" s="23" t="n">
        <x:f>SUMIFS('Project Date Detail'!$I$2:$I$49,'Project Date Detail'!$A$2:$A$49,$A15,'Project Date Detail'!$B$2:$B$49,K$3)</x:f>
        <x:v>0</x:v>
      </x:c>
      <x:c r="L15" s="23" t="n">
        <x:f>SUMIFS('Project Date Detail'!$I$2:$I$49,'Project Date Detail'!$A$2:$A$49,$A15,'Project Date Detail'!$B$2:$B$49,L$3)</x:f>
        <x:v>20943</x:v>
      </x:c>
      <x:c r="M15" s="23" t="n">
        <x:f>SUMIFS('Project Date Detail'!$I$2:$I$49,'Project Date Detail'!$A$2:$A$49,$A15,'Project Date Detail'!$B$2:$B$49,M$3)</x:f>
        <x:v>0</x:v>
      </x:c>
      <x:c r="N15" s="23" t="n">
        <x:f>SUMIFS('Project Date Detail'!$I$2:$I$49,'Project Date Detail'!$A$2:$A$49,$A15,'Project Date Detail'!$B$2:$B$49,N$3)</x:f>
        <x:v>23622</x:v>
      </x:c>
      <x:c r="O15" s="23" t="n">
        <x:f>SUMIFS('Project Date Detail'!$I$2:$I$49,'Project Date Detail'!$A$2:$A$49,$A15,'Project Date Detail'!$B$2:$B$49,O$3)</x:f>
        <x:v>0</x:v>
      </x:c>
      <x:c r="P15" s="23" t="n">
        <x:f>SUMIFS('Project Date Detail'!$I$2:$I$49,'Project Date Detail'!$A$2:$A$49,$A15,'Project Date Detail'!$B$2:$B$49,P$3)</x:f>
        <x:v>0</x:v>
      </x:c>
      <x:c r="Q15" s="24" t="n">
        <x:f>SUMIFS('Project Date Detail'!$I$2:$I$49,'Project Date Detail'!$A$2:$A$49,$A15,'Project Date Detail'!$B$2:$B$49,Q$3)</x:f>
        <x:v>0</x:v>
      </x:c>
    </x:row>
    <x:row r="16">
      <x:c r="A16" s="22" t="n">
        <x:v>46197</x:v>
      </x:c>
      <x:c r="B16" s="23" t="n">
        <x:f>SUMIFS('Project Date Detail'!$I$2:$I$49,'Project Date Detail'!$A$2:$A$49,$A16,'Project Date Detail'!$B$2:$B$49,B$3)</x:f>
        <x:v>1083366</x:v>
      </x:c>
      <x:c r="C16" s="23" t="n">
        <x:f>SUMIFS('Project Date Detail'!$I$2:$I$49,'Project Date Detail'!$A$2:$A$49,$A16,'Project Date Detail'!$B$2:$B$49,C$3)</x:f>
        <x:v>0</x:v>
      </x:c>
      <x:c r="D16" s="23" t="n">
        <x:f>SUMIFS('Project Date Detail'!$I$2:$I$49,'Project Date Detail'!$A$2:$A$49,$A16,'Project Date Detail'!$B$2:$B$49,D$3)</x:f>
        <x:v>0</x:v>
      </x:c>
      <x:c r="E16" s="23" t="n">
        <x:f>SUMIFS('Project Date Detail'!$I$2:$I$49,'Project Date Detail'!$A$2:$A$49,$A16,'Project Date Detail'!$B$2:$B$49,E$3)</x:f>
        <x:v>0</x:v>
      </x:c>
      <x:c r="F16" s="23" t="n">
        <x:f>SUMIFS('Project Date Detail'!$I$2:$I$49,'Project Date Detail'!$A$2:$A$49,$A16,'Project Date Detail'!$B$2:$B$49,F$3)</x:f>
        <x:v>1490486</x:v>
      </x:c>
      <x:c r="G16" s="23" t="n">
        <x:f>SUMIFS('Project Date Detail'!$I$2:$I$49,'Project Date Detail'!$A$2:$A$49,$A16,'Project Date Detail'!$B$2:$B$49,G$3)</x:f>
        <x:v>290543</x:v>
      </x:c>
      <x:c r="H16" s="23" t="n">
        <x:f>SUMIFS('Project Date Detail'!$I$2:$I$49,'Project Date Detail'!$A$2:$A$49,$A16,'Project Date Detail'!$B$2:$B$49,H$3)</x:f>
        <x:v>0</x:v>
      </x:c>
      <x:c r="I16" s="23" t="n">
        <x:f>SUMIFS('Project Date Detail'!$I$2:$I$49,'Project Date Detail'!$A$2:$A$49,$A16,'Project Date Detail'!$B$2:$B$49,I$3)</x:f>
        <x:v>0</x:v>
      </x:c>
      <x:c r="J16" s="23" t="n">
        <x:f>SUMIFS('Project Date Detail'!$I$2:$I$49,'Project Date Detail'!$A$2:$A$49,$A16,'Project Date Detail'!$B$2:$B$49,J$3)</x:f>
        <x:v>0</x:v>
      </x:c>
      <x:c r="K16" s="23" t="n">
        <x:f>SUMIFS('Project Date Detail'!$I$2:$I$49,'Project Date Detail'!$A$2:$A$49,$A16,'Project Date Detail'!$B$2:$B$49,K$3)</x:f>
        <x:v>0</x:v>
      </x:c>
      <x:c r="L16" s="23" t="n">
        <x:f>SUMIFS('Project Date Detail'!$I$2:$I$49,'Project Date Detail'!$A$2:$A$49,$A16,'Project Date Detail'!$B$2:$B$49,L$3)</x:f>
        <x:v>0</x:v>
      </x:c>
      <x:c r="M16" s="23" t="n">
        <x:f>SUMIFS('Project Date Detail'!$I$2:$I$49,'Project Date Detail'!$A$2:$A$49,$A16,'Project Date Detail'!$B$2:$B$49,M$3)</x:f>
        <x:v>0</x:v>
      </x:c>
      <x:c r="N16" s="23" t="n">
        <x:f>SUMIFS('Project Date Detail'!$I$2:$I$49,'Project Date Detail'!$A$2:$A$49,$A16,'Project Date Detail'!$B$2:$B$49,N$3)</x:f>
        <x:v>25083</x:v>
      </x:c>
      <x:c r="O16" s="23" t="n">
        <x:f>SUMIFS('Project Date Detail'!$I$2:$I$49,'Project Date Detail'!$A$2:$A$49,$A16,'Project Date Detail'!$B$2:$B$49,O$3)</x:f>
        <x:v>0</x:v>
      </x:c>
      <x:c r="P16" s="23" t="n">
        <x:f>SUMIFS('Project Date Detail'!$I$2:$I$49,'Project Date Detail'!$A$2:$A$49,$A16,'Project Date Detail'!$B$2:$B$49,P$3)</x:f>
        <x:v>0</x:v>
      </x:c>
      <x:c r="Q16" s="24" t="n">
        <x:f>SUMIFS('Project Date Detail'!$I$2:$I$49,'Project Date Detail'!$A$2:$A$49,$A16,'Project Date Detail'!$B$2:$B$49,Q$3)</x:f>
        <x:v>0</x:v>
      </x:c>
    </x:row>
    <x:row r="17">
      <x:c r="A17" s="22" t="n">
        <x:v>46198</x:v>
      </x:c>
      <x:c r="B17" s="23" t="n">
        <x:f>SUMIFS('Project Date Detail'!$I$2:$I$49,'Project Date Detail'!$A$2:$A$49,$A17,'Project Date Detail'!$B$2:$B$49,B$3)</x:f>
        <x:v>3762701</x:v>
      </x:c>
      <x:c r="C17" s="23" t="n">
        <x:f>SUMIFS('Project Date Detail'!$I$2:$I$49,'Project Date Detail'!$A$2:$A$49,$A17,'Project Date Detail'!$B$2:$B$49,C$3)</x:f>
        <x:v>0</x:v>
      </x:c>
      <x:c r="D17" s="23" t="n">
        <x:f>SUMIFS('Project Date Detail'!$I$2:$I$49,'Project Date Detail'!$A$2:$A$49,$A17,'Project Date Detail'!$B$2:$B$49,D$3)</x:f>
        <x:v>0</x:v>
      </x:c>
      <x:c r="E17" s="23" t="n">
        <x:f>SUMIFS('Project Date Detail'!$I$2:$I$49,'Project Date Detail'!$A$2:$A$49,$A17,'Project Date Detail'!$B$2:$B$49,E$3)</x:f>
        <x:v>74000</x:v>
      </x:c>
      <x:c r="F17" s="23" t="n">
        <x:f>SUMIFS('Project Date Detail'!$I$2:$I$49,'Project Date Detail'!$A$2:$A$49,$A17,'Project Date Detail'!$B$2:$B$49,F$3)</x:f>
        <x:v>0</x:v>
      </x:c>
      <x:c r="G17" s="23" t="n">
        <x:f>SUMIFS('Project Date Detail'!$I$2:$I$49,'Project Date Detail'!$A$2:$A$49,$A17,'Project Date Detail'!$B$2:$B$49,G$3)</x:f>
        <x:v>0</x:v>
      </x:c>
      <x:c r="H17" s="23" t="n">
        <x:f>SUMIFS('Project Date Detail'!$I$2:$I$49,'Project Date Detail'!$A$2:$A$49,$A17,'Project Date Detail'!$B$2:$B$49,H$3)</x:f>
        <x:v>0</x:v>
      </x:c>
      <x:c r="I17" s="23" t="n">
        <x:f>SUMIFS('Project Date Detail'!$I$2:$I$49,'Project Date Detail'!$A$2:$A$49,$A17,'Project Date Detail'!$B$2:$B$49,I$3)</x:f>
        <x:v>0</x:v>
      </x:c>
      <x:c r="J17" s="23" t="n">
        <x:f>SUMIFS('Project Date Detail'!$I$2:$I$49,'Project Date Detail'!$A$2:$A$49,$A17,'Project Date Detail'!$B$2:$B$49,J$3)</x:f>
        <x:v>0</x:v>
      </x:c>
      <x:c r="K17" s="23" t="n">
        <x:f>SUMIFS('Project Date Detail'!$I$2:$I$49,'Project Date Detail'!$A$2:$A$49,$A17,'Project Date Detail'!$B$2:$B$49,K$3)</x:f>
        <x:v>0</x:v>
      </x:c>
      <x:c r="L17" s="23" t="n">
        <x:f>SUMIFS('Project Date Detail'!$I$2:$I$49,'Project Date Detail'!$A$2:$A$49,$A17,'Project Date Detail'!$B$2:$B$49,L$3)</x:f>
        <x:v>0</x:v>
      </x:c>
      <x:c r="M17" s="23" t="n">
        <x:f>SUMIFS('Project Date Detail'!$I$2:$I$49,'Project Date Detail'!$A$2:$A$49,$A17,'Project Date Detail'!$B$2:$B$49,M$3)</x:f>
        <x:v>0</x:v>
      </x:c>
      <x:c r="N17" s="23" t="n">
        <x:f>SUMIFS('Project Date Detail'!$I$2:$I$49,'Project Date Detail'!$A$2:$A$49,$A17,'Project Date Detail'!$B$2:$B$49,N$3)</x:f>
        <x:v>0</x:v>
      </x:c>
      <x:c r="O17" s="23" t="n">
        <x:f>SUMIFS('Project Date Detail'!$I$2:$I$49,'Project Date Detail'!$A$2:$A$49,$A17,'Project Date Detail'!$B$2:$B$49,O$3)</x:f>
        <x:v>0</x:v>
      </x:c>
      <x:c r="P17" s="23" t="n">
        <x:f>SUMIFS('Project Date Detail'!$I$2:$I$49,'Project Date Detail'!$A$2:$A$49,$A17,'Project Date Detail'!$B$2:$B$49,P$3)</x:f>
        <x:v>0</x:v>
      </x:c>
      <x:c r="Q17" s="24" t="n">
        <x:f>SUMIFS('Project Date Detail'!$I$2:$I$49,'Project Date Detail'!$A$2:$A$49,$A17,'Project Date Detail'!$B$2:$B$49,Q$3)</x:f>
        <x:v>0</x:v>
      </x:c>
    </x:row>
    <x:row r="18">
      <x:c r="A18" s="22" t="n">
        <x:v>46199</x:v>
      </x:c>
      <x:c r="B18" s="23" t="n">
        <x:f>SUMIFS('Project Date Detail'!$I$2:$I$49,'Project Date Detail'!$A$2:$A$49,$A18,'Project Date Detail'!$B$2:$B$49,B$3)</x:f>
        <x:v>1298624</x:v>
      </x:c>
      <x:c r="C18" s="23" t="n">
        <x:f>SUMIFS('Project Date Detail'!$I$2:$I$49,'Project Date Detail'!$A$2:$A$49,$A18,'Project Date Detail'!$B$2:$B$49,C$3)</x:f>
        <x:v>0</x:v>
      </x:c>
      <x:c r="D18" s="23" t="n">
        <x:f>SUMIFS('Project Date Detail'!$I$2:$I$49,'Project Date Detail'!$A$2:$A$49,$A18,'Project Date Detail'!$B$2:$B$49,D$3)</x:f>
        <x:v>0</x:v>
      </x:c>
      <x:c r="E18" s="23" t="n">
        <x:f>SUMIFS('Project Date Detail'!$I$2:$I$49,'Project Date Detail'!$A$2:$A$49,$A18,'Project Date Detail'!$B$2:$B$49,E$3)</x:f>
        <x:v>0</x:v>
      </x:c>
      <x:c r="F18" s="23" t="n">
        <x:f>SUMIFS('Project Date Detail'!$I$2:$I$49,'Project Date Detail'!$A$2:$A$49,$A18,'Project Date Detail'!$B$2:$B$49,F$3)</x:f>
        <x:v>0</x:v>
      </x:c>
      <x:c r="G18" s="23" t="n">
        <x:f>SUMIFS('Project Date Detail'!$I$2:$I$49,'Project Date Detail'!$A$2:$A$49,$A18,'Project Date Detail'!$B$2:$B$49,G$3)</x:f>
        <x:v>0</x:v>
      </x:c>
      <x:c r="H18" s="23" t="n">
        <x:f>SUMIFS('Project Date Detail'!$I$2:$I$49,'Project Date Detail'!$A$2:$A$49,$A18,'Project Date Detail'!$B$2:$B$49,H$3)</x:f>
        <x:v>0</x:v>
      </x:c>
      <x:c r="I18" s="23" t="n">
        <x:f>SUMIFS('Project Date Detail'!$I$2:$I$49,'Project Date Detail'!$A$2:$A$49,$A18,'Project Date Detail'!$B$2:$B$49,I$3)</x:f>
        <x:v>0</x:v>
      </x:c>
      <x:c r="J18" s="23" t="n">
        <x:f>SUMIFS('Project Date Detail'!$I$2:$I$49,'Project Date Detail'!$A$2:$A$49,$A18,'Project Date Detail'!$B$2:$B$49,J$3)</x:f>
        <x:v>82589</x:v>
      </x:c>
      <x:c r="K18" s="23" t="n">
        <x:f>SUMIFS('Project Date Detail'!$I$2:$I$49,'Project Date Detail'!$A$2:$A$49,$A18,'Project Date Detail'!$B$2:$B$49,K$3)</x:f>
        <x:v>0</x:v>
      </x:c>
      <x:c r="L18" s="23" t="n">
        <x:f>SUMIFS('Project Date Detail'!$I$2:$I$49,'Project Date Detail'!$A$2:$A$49,$A18,'Project Date Detail'!$B$2:$B$49,L$3)</x:f>
        <x:v>0</x:v>
      </x:c>
      <x:c r="M18" s="23" t="n">
        <x:f>SUMIFS('Project Date Detail'!$I$2:$I$49,'Project Date Detail'!$A$2:$A$49,$A18,'Project Date Detail'!$B$2:$B$49,M$3)</x:f>
        <x:v>0</x:v>
      </x:c>
      <x:c r="N18" s="23" t="n">
        <x:f>SUMIFS('Project Date Detail'!$I$2:$I$49,'Project Date Detail'!$A$2:$A$49,$A18,'Project Date Detail'!$B$2:$B$49,N$3)</x:f>
        <x:v>0</x:v>
      </x:c>
      <x:c r="O18" s="23" t="n">
        <x:f>SUMIFS('Project Date Detail'!$I$2:$I$49,'Project Date Detail'!$A$2:$A$49,$A18,'Project Date Detail'!$B$2:$B$49,O$3)</x:f>
        <x:v>0</x:v>
      </x:c>
      <x:c r="P18" s="23" t="n">
        <x:f>SUMIFS('Project Date Detail'!$I$2:$I$49,'Project Date Detail'!$A$2:$A$49,$A18,'Project Date Detail'!$B$2:$B$49,P$3)</x:f>
        <x:v>0</x:v>
      </x:c>
      <x:c r="Q18" s="24" t="n">
        <x:f>SUMIFS('Project Date Detail'!$I$2:$I$49,'Project Date Detail'!$A$2:$A$49,$A18,'Project Date Detail'!$B$2:$B$49,Q$3)</x:f>
        <x:v>0</x:v>
      </x:c>
    </x:row>
    <x:row r="19">
      <x:c r="A19" s="22" t="n">
        <x:v>46202</x:v>
      </x:c>
      <x:c r="B19" s="23" t="n">
        <x:f>SUMIFS('Project Date Detail'!$I$2:$I$49,'Project Date Detail'!$A$2:$A$49,$A19,'Project Date Detail'!$B$2:$B$49,B$3)</x:f>
        <x:v>4478773</x:v>
      </x:c>
      <x:c r="C19" s="23" t="n">
        <x:f>SUMIFS('Project Date Detail'!$I$2:$I$49,'Project Date Detail'!$A$2:$A$49,$A19,'Project Date Detail'!$B$2:$B$49,C$3)</x:f>
        <x:v>0</x:v>
      </x:c>
      <x:c r="D19" s="23" t="n">
        <x:f>SUMIFS('Project Date Detail'!$I$2:$I$49,'Project Date Detail'!$A$2:$A$49,$A19,'Project Date Detail'!$B$2:$B$49,D$3)</x:f>
        <x:v>0</x:v>
      </x:c>
      <x:c r="E19" s="23" t="n">
        <x:f>SUMIFS('Project Date Detail'!$I$2:$I$49,'Project Date Detail'!$A$2:$A$49,$A19,'Project Date Detail'!$B$2:$B$49,E$3)</x:f>
        <x:v>0</x:v>
      </x:c>
      <x:c r="F19" s="23" t="n">
        <x:f>SUMIFS('Project Date Detail'!$I$2:$I$49,'Project Date Detail'!$A$2:$A$49,$A19,'Project Date Detail'!$B$2:$B$49,F$3)</x:f>
        <x:v>0</x:v>
      </x:c>
      <x:c r="G19" s="23" t="n">
        <x:f>SUMIFS('Project Date Detail'!$I$2:$I$49,'Project Date Detail'!$A$2:$A$49,$A19,'Project Date Detail'!$B$2:$B$49,G$3)</x:f>
        <x:v>0</x:v>
      </x:c>
      <x:c r="H19" s="23" t="n">
        <x:f>SUMIFS('Project Date Detail'!$I$2:$I$49,'Project Date Detail'!$A$2:$A$49,$A19,'Project Date Detail'!$B$2:$B$49,H$3)</x:f>
        <x:v>0</x:v>
      </x:c>
      <x:c r="I19" s="23" t="n">
        <x:f>SUMIFS('Project Date Detail'!$I$2:$I$49,'Project Date Detail'!$A$2:$A$49,$A19,'Project Date Detail'!$B$2:$B$49,I$3)</x:f>
        <x:v>0</x:v>
      </x:c>
      <x:c r="J19" s="23" t="n">
        <x:f>SUMIFS('Project Date Detail'!$I$2:$I$49,'Project Date Detail'!$A$2:$A$49,$A19,'Project Date Detail'!$B$2:$B$49,J$3)</x:f>
        <x:v>0</x:v>
      </x:c>
      <x:c r="K19" s="23" t="n">
        <x:f>SUMIFS('Project Date Detail'!$I$2:$I$49,'Project Date Detail'!$A$2:$A$49,$A19,'Project Date Detail'!$B$2:$B$49,K$3)</x:f>
        <x:v>0</x:v>
      </x:c>
      <x:c r="L19" s="23" t="n">
        <x:f>SUMIFS('Project Date Detail'!$I$2:$I$49,'Project Date Detail'!$A$2:$A$49,$A19,'Project Date Detail'!$B$2:$B$49,L$3)</x:f>
        <x:v>0</x:v>
      </x:c>
      <x:c r="M19" s="23" t="n">
        <x:f>SUMIFS('Project Date Detail'!$I$2:$I$49,'Project Date Detail'!$A$2:$A$49,$A19,'Project Date Detail'!$B$2:$B$49,M$3)</x:f>
        <x:v>0</x:v>
      </x:c>
      <x:c r="N19" s="23" t="n">
        <x:f>SUMIFS('Project Date Detail'!$I$2:$I$49,'Project Date Detail'!$A$2:$A$49,$A19,'Project Date Detail'!$B$2:$B$49,N$3)</x:f>
        <x:v>0</x:v>
      </x:c>
      <x:c r="O19" s="23" t="n">
        <x:f>SUMIFS('Project Date Detail'!$I$2:$I$49,'Project Date Detail'!$A$2:$A$49,$A19,'Project Date Detail'!$B$2:$B$49,O$3)</x:f>
        <x:v>0</x:v>
      </x:c>
      <x:c r="P19" s="23" t="n">
        <x:f>SUMIFS('Project Date Detail'!$I$2:$I$49,'Project Date Detail'!$A$2:$A$49,$A19,'Project Date Detail'!$B$2:$B$49,P$3)</x:f>
        <x:v>0</x:v>
      </x:c>
      <x:c r="Q19" s="24" t="n">
        <x:f>SUMIFS('Project Date Detail'!$I$2:$I$49,'Project Date Detail'!$A$2:$A$49,$A19,'Project Date Detail'!$B$2:$B$49,Q$3)</x:f>
        <x:v>0</x:v>
      </x:c>
    </x:row>
    <x:row r="20">
      <x:c r="A20" s="22" t="n">
        <x:v>46203</x:v>
      </x:c>
      <x:c r="B20" s="23" t="n">
        <x:f>SUMIFS('Project Date Detail'!$I$2:$I$49,'Project Date Detail'!$A$2:$A$49,$A20,'Project Date Detail'!$B$2:$B$49,B$3)</x:f>
        <x:v>862928</x:v>
      </x:c>
      <x:c r="C20" s="23" t="n">
        <x:f>SUMIFS('Project Date Detail'!$I$2:$I$49,'Project Date Detail'!$A$2:$A$49,$A20,'Project Date Detail'!$B$2:$B$49,C$3)</x:f>
        <x:v>0</x:v>
      </x:c>
      <x:c r="D20" s="23" t="n">
        <x:f>SUMIFS('Project Date Detail'!$I$2:$I$49,'Project Date Detail'!$A$2:$A$49,$A20,'Project Date Detail'!$B$2:$B$49,D$3)</x:f>
        <x:v>0</x:v>
      </x:c>
      <x:c r="E20" s="23" t="n">
        <x:f>SUMIFS('Project Date Detail'!$I$2:$I$49,'Project Date Detail'!$A$2:$A$49,$A20,'Project Date Detail'!$B$2:$B$49,E$3)</x:f>
        <x:v>0</x:v>
      </x:c>
      <x:c r="F20" s="23" t="n">
        <x:f>SUMIFS('Project Date Detail'!$I$2:$I$49,'Project Date Detail'!$A$2:$A$49,$A20,'Project Date Detail'!$B$2:$B$49,F$3)</x:f>
        <x:v>0</x:v>
      </x:c>
      <x:c r="G20" s="23" t="n">
        <x:f>SUMIFS('Project Date Detail'!$I$2:$I$49,'Project Date Detail'!$A$2:$A$49,$A20,'Project Date Detail'!$B$2:$B$49,G$3)</x:f>
        <x:v>0</x:v>
      </x:c>
      <x:c r="H20" s="23" t="n">
        <x:f>SUMIFS('Project Date Detail'!$I$2:$I$49,'Project Date Detail'!$A$2:$A$49,$A20,'Project Date Detail'!$B$2:$B$49,H$3)</x:f>
        <x:v>0</x:v>
      </x:c>
      <x:c r="I20" s="23" t="n">
        <x:f>SUMIFS('Project Date Detail'!$I$2:$I$49,'Project Date Detail'!$A$2:$A$49,$A20,'Project Date Detail'!$B$2:$B$49,I$3)</x:f>
        <x:v>0</x:v>
      </x:c>
      <x:c r="J20" s="23" t="n">
        <x:f>SUMIFS('Project Date Detail'!$I$2:$I$49,'Project Date Detail'!$A$2:$A$49,$A20,'Project Date Detail'!$B$2:$B$49,J$3)</x:f>
        <x:v>0</x:v>
      </x:c>
      <x:c r="K20" s="23" t="n">
        <x:f>SUMIFS('Project Date Detail'!$I$2:$I$49,'Project Date Detail'!$A$2:$A$49,$A20,'Project Date Detail'!$B$2:$B$49,K$3)</x:f>
        <x:v>0</x:v>
      </x:c>
      <x:c r="L20" s="23" t="n">
        <x:f>SUMIFS('Project Date Detail'!$I$2:$I$49,'Project Date Detail'!$A$2:$A$49,$A20,'Project Date Detail'!$B$2:$B$49,L$3)</x:f>
        <x:v>0</x:v>
      </x:c>
      <x:c r="M20" s="23" t="n">
        <x:f>SUMIFS('Project Date Detail'!$I$2:$I$49,'Project Date Detail'!$A$2:$A$49,$A20,'Project Date Detail'!$B$2:$B$49,M$3)</x:f>
        <x:v>0</x:v>
      </x:c>
      <x:c r="N20" s="23" t="n">
        <x:f>SUMIFS('Project Date Detail'!$I$2:$I$49,'Project Date Detail'!$A$2:$A$49,$A20,'Project Date Detail'!$B$2:$B$49,N$3)</x:f>
        <x:v>0</x:v>
      </x:c>
      <x:c r="O20" s="23" t="n">
        <x:f>SUMIFS('Project Date Detail'!$I$2:$I$49,'Project Date Detail'!$A$2:$A$49,$A20,'Project Date Detail'!$B$2:$B$49,O$3)</x:f>
        <x:v>0</x:v>
      </x:c>
      <x:c r="P20" s="23" t="n">
        <x:f>SUMIFS('Project Date Detail'!$I$2:$I$49,'Project Date Detail'!$A$2:$A$49,$A20,'Project Date Detail'!$B$2:$B$49,P$3)</x:f>
        <x:v>0</x:v>
      </x:c>
      <x:c r="Q20" s="24" t="n">
        <x:f>SUMIFS('Project Date Detail'!$I$2:$I$49,'Project Date Detail'!$A$2:$A$49,$A20,'Project Date Detail'!$B$2:$B$49,Q$3)</x:f>
        <x:v>0</x:v>
      </x:c>
    </x:row>
    <x:row r="21">
      <x:c r="A21" s="25" t="n">
        <x:v>46204</x:v>
      </x:c>
      <x:c r="B21" s="26" t="n">
        <x:f>SUMIFS('Project Date Detail'!$I$2:$I$49,'Project Date Detail'!$A$2:$A$49,$A21,'Project Date Detail'!$B$2:$B$49,B$3)</x:f>
        <x:v>2822524</x:v>
      </x:c>
      <x:c r="C21" s="26" t="n">
        <x:f>SUMIFS('Project Date Detail'!$I$2:$I$49,'Project Date Detail'!$A$2:$A$49,$A21,'Project Date Detail'!$B$2:$B$49,C$3)</x:f>
        <x:v>53697</x:v>
      </x:c>
      <x:c r="D21" s="26" t="n">
        <x:f>SUMIFS('Project Date Detail'!$I$2:$I$49,'Project Date Detail'!$A$2:$A$49,$A21,'Project Date Detail'!$B$2:$B$49,D$3)</x:f>
        <x:v>0</x:v>
      </x:c>
      <x:c r="E21" s="26" t="n">
        <x:f>SUMIFS('Project Date Detail'!$I$2:$I$49,'Project Date Detail'!$A$2:$A$49,$A21,'Project Date Detail'!$B$2:$B$49,E$3)</x:f>
        <x:v>0</x:v>
      </x:c>
      <x:c r="F21" s="26" t="n">
        <x:f>SUMIFS('Project Date Detail'!$I$2:$I$49,'Project Date Detail'!$A$2:$A$49,$A21,'Project Date Detail'!$B$2:$B$49,F$3)</x:f>
        <x:v>0</x:v>
      </x:c>
      <x:c r="G21" s="26" t="n">
        <x:f>SUMIFS('Project Date Detail'!$I$2:$I$49,'Project Date Detail'!$A$2:$A$49,$A21,'Project Date Detail'!$B$2:$B$49,G$3)</x:f>
        <x:v>0</x:v>
      </x:c>
      <x:c r="H21" s="26" t="n">
        <x:f>SUMIFS('Project Date Detail'!$I$2:$I$49,'Project Date Detail'!$A$2:$A$49,$A21,'Project Date Detail'!$B$2:$B$49,H$3)</x:f>
        <x:v>0</x:v>
      </x:c>
      <x:c r="I21" s="26" t="n">
        <x:f>SUMIFS('Project Date Detail'!$I$2:$I$49,'Project Date Detail'!$A$2:$A$49,$A21,'Project Date Detail'!$B$2:$B$49,I$3)</x:f>
        <x:v>0</x:v>
      </x:c>
      <x:c r="J21" s="26" t="n">
        <x:f>SUMIFS('Project Date Detail'!$I$2:$I$49,'Project Date Detail'!$A$2:$A$49,$A21,'Project Date Detail'!$B$2:$B$49,J$3)</x:f>
        <x:v>0</x:v>
      </x:c>
      <x:c r="K21" s="26" t="n">
        <x:f>SUMIFS('Project Date Detail'!$I$2:$I$49,'Project Date Detail'!$A$2:$A$49,$A21,'Project Date Detail'!$B$2:$B$49,K$3)</x:f>
        <x:v>0</x:v>
      </x:c>
      <x:c r="L21" s="26" t="n">
        <x:f>SUMIFS('Project Date Detail'!$I$2:$I$49,'Project Date Detail'!$A$2:$A$49,$A21,'Project Date Detail'!$B$2:$B$49,L$3)</x:f>
        <x:v>0</x:v>
      </x:c>
      <x:c r="M21" s="26" t="n">
        <x:f>SUMIFS('Project Date Detail'!$I$2:$I$49,'Project Date Detail'!$A$2:$A$49,$A21,'Project Date Detail'!$B$2:$B$49,M$3)</x:f>
        <x:v>0</x:v>
      </x:c>
      <x:c r="N21" s="26" t="n">
        <x:f>SUMIFS('Project Date Detail'!$I$2:$I$49,'Project Date Detail'!$A$2:$A$49,$A21,'Project Date Detail'!$B$2:$B$49,N$3)</x:f>
        <x:v>0</x:v>
      </x:c>
      <x:c r="O21" s="26" t="n">
        <x:f>SUMIFS('Project Date Detail'!$I$2:$I$49,'Project Date Detail'!$A$2:$A$49,$A21,'Project Date Detail'!$B$2:$B$49,O$3)</x:f>
        <x:v>0</x:v>
      </x:c>
      <x:c r="P21" s="26" t="n">
        <x:f>SUMIFS('Project Date Detail'!$I$2:$I$49,'Project Date Detail'!$A$2:$A$49,$A21,'Project Date Detail'!$B$2:$B$49,P$3)</x:f>
        <x:v>2922</x:v>
      </x:c>
      <x:c r="Q21" s="27" t="n">
        <x:f>SUMIFS('Project Date Detail'!$I$2:$I$49,'Project Date Detail'!$A$2:$A$49,$A21,'Project Date Detail'!$B$2:$B$49,Q$3)</x:f>
        <x:v>0</x:v>
      </x:c>
    </x:row>
  </x:sheetData>
  <x:mergeCells>
    <x:mergeCell ref="A1:R1"/>
  </x:mergeCells>
  <x:pageMargins left="0.7" right="0.7" top="0.75" bottom="0.75" header="0.3" footer="0.3"/>
</x:worksheet>
</file>